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rof-watson/Documents/东南大学/科研/频率支撑/测试代码/CaseParams/"/>
    </mc:Choice>
  </mc:AlternateContent>
  <xr:revisionPtr revIDLastSave="0" documentId="13_ncr:1_{B813DF83-919B-3F45-A769-E4ECE911CBA6}" xr6:coauthVersionLast="47" xr6:coauthVersionMax="47" xr10:uidLastSave="{00000000-0000-0000-0000-000000000000}"/>
  <bookViews>
    <workbookView xWindow="24040" yWindow="6700" windowWidth="30240" windowHeight="15940" activeTab="3" xr2:uid="{00000000-000D-0000-FFFF-FFFF00000000}"/>
  </bookViews>
  <sheets>
    <sheet name="General-Info" sheetId="1" r:id="rId1"/>
    <sheet name="H2G" sheetId="17" r:id="rId2"/>
    <sheet name="P2H" sheetId="16" r:id="rId3"/>
    <sheet name="G2P" sheetId="12" r:id="rId4"/>
    <sheet name="Power-Bus" sheetId="2" r:id="rId5"/>
    <sheet name="Power-Branch" sheetId="13" r:id="rId6"/>
    <sheet name="Power-Gen" sheetId="3" r:id="rId7"/>
    <sheet name="Power-GenWind" sheetId="4" r:id="rId8"/>
    <sheet name="Power-WindHourly" sheetId="5" r:id="rId9"/>
    <sheet name="Power-LoadHourly" sheetId="6" r:id="rId10"/>
    <sheet name="Gas-Node" sheetId="7" r:id="rId11"/>
    <sheet name="Gas-Pipeline" sheetId="8" r:id="rId12"/>
    <sheet name="Gas-Source" sheetId="9" r:id="rId13"/>
    <sheet name="Gas-Compressor" sheetId="10" r:id="rId14"/>
    <sheet name="Gas-LoadHourly" sheetId="11" r:id="rId15"/>
    <sheet name="Hydrogen-Node" sheetId="14" r:id="rId16"/>
    <sheet name="Hydrogen-Pipeline" sheetId="20" r:id="rId17"/>
    <sheet name="Hydrogen-Source" sheetId="15" r:id="rId18"/>
    <sheet name="Hydrogen-Compressor" sheetId="21" r:id="rId19"/>
    <sheet name="Hydrogen-LoadHourly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J2" i="3"/>
  <c r="J3" i="3"/>
  <c r="J4" i="3"/>
  <c r="J5" i="3"/>
  <c r="J6" i="3"/>
  <c r="J7" i="3"/>
  <c r="J8" i="3"/>
  <c r="J9" i="3"/>
  <c r="H6" i="20"/>
  <c r="H5" i="20"/>
  <c r="H4" i="20"/>
  <c r="H3" i="20"/>
  <c r="H2" i="20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C2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B4" authorId="0" shapeId="0" xr:uid="{606FE493-01A8-C048-AB3E-F9060E3AF048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假设</t>
        </r>
        <r>
          <rPr>
            <sz val="10"/>
            <color rgb="FF000000"/>
            <rFont val="Microsoft YaHei UI"/>
            <family val="2"/>
            <charset val="134"/>
          </rPr>
          <t>5GWh</t>
        </r>
        <r>
          <rPr>
            <sz val="10"/>
            <color rgb="FF000000"/>
            <rFont val="Microsoft YaHei UI"/>
            <family val="2"/>
            <charset val="134"/>
          </rPr>
          <t>的电需要</t>
        </r>
        <r>
          <rPr>
            <sz val="10"/>
            <color rgb="FF000000"/>
            <rFont val="Microsoft YaHei UI"/>
            <family val="2"/>
            <charset val="134"/>
          </rPr>
          <t>1MSm3</t>
        </r>
        <r>
          <rPr>
            <sz val="10"/>
            <color rgb="FF000000"/>
            <rFont val="Microsoft YaHei UI"/>
            <family val="2"/>
            <charset val="134"/>
          </rPr>
          <t>的天然气（</t>
        </r>
        <r>
          <rPr>
            <sz val="10"/>
            <color rgb="FF000000"/>
            <rFont val="Microsoft YaHei UI"/>
            <family val="2"/>
            <charset val="134"/>
          </rPr>
          <t>Correa</t>
        </r>
        <r>
          <rPr>
            <sz val="10"/>
            <color rgb="FF000000"/>
            <rFont val="Microsoft YaHei UI"/>
            <family val="2"/>
            <charset val="134"/>
          </rPr>
          <t>给的数值为</t>
        </r>
        <r>
          <rPr>
            <sz val="10"/>
            <color rgb="FF000000"/>
            <rFont val="Microsoft YaHei UI"/>
            <family val="2"/>
            <charset val="134"/>
          </rPr>
          <t>1m3</t>
        </r>
        <r>
          <rPr>
            <sz val="10"/>
            <color rgb="FF000000"/>
            <rFont val="Microsoft YaHei UI"/>
            <family val="2"/>
            <charset val="134"/>
          </rPr>
          <t>，有点太小了）</t>
        </r>
      </text>
    </comment>
    <comment ref="B5" authorId="0" shapeId="0" xr:uid="{12EE3ED5-EE04-F84F-9D28-37CA53742C65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1kcf</t>
        </r>
        <r>
          <rPr>
            <sz val="10"/>
            <color rgb="FF000000"/>
            <rFont val="Microsoft YaHei UI"/>
            <family val="2"/>
            <charset val="134"/>
          </rPr>
          <t>的天然气消耗</t>
        </r>
        <r>
          <rPr>
            <sz val="10"/>
            <color rgb="FF000000"/>
            <rFont val="Microsoft YaHei UI"/>
            <family val="2"/>
            <charset val="134"/>
          </rPr>
          <t>4kcf</t>
        </r>
        <r>
          <rPr>
            <sz val="10"/>
            <color rgb="FF000000"/>
            <rFont val="Microsoft YaHei UI"/>
            <family val="2"/>
            <charset val="134"/>
          </rPr>
          <t>的氢</t>
        </r>
      </text>
    </comment>
    <comment ref="B6" authorId="0" shapeId="0" xr:uid="{BD32F039-A01E-BD40-BC8E-2C0F52D4692F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1kcf</t>
        </r>
        <r>
          <rPr>
            <sz val="10"/>
            <color rgb="FF000000"/>
            <rFont val="Microsoft YaHei UI"/>
            <family val="2"/>
            <charset val="134"/>
          </rPr>
          <t>的氢消耗多少</t>
        </r>
        <r>
          <rPr>
            <sz val="10"/>
            <color rgb="FF000000"/>
            <rFont val="Microsoft YaHei UI"/>
            <family val="2"/>
            <charset val="134"/>
          </rPr>
          <t>GWh</t>
        </r>
        <r>
          <rPr>
            <sz val="10"/>
            <color rgb="FF000000"/>
            <rFont val="Microsoft YaHei UI"/>
            <family val="2"/>
            <charset val="134"/>
          </rPr>
          <t>的电？首先求得</t>
        </r>
        <r>
          <rPr>
            <sz val="10"/>
            <color rgb="FF000000"/>
            <rFont val="Microsoft YaHei UI"/>
            <family val="2"/>
            <charset val="134"/>
          </rPr>
          <t>G2P-base</t>
        </r>
        <r>
          <rPr>
            <sz val="10"/>
            <color rgb="FF000000"/>
            <rFont val="Microsoft YaHei UI"/>
            <family val="2"/>
            <charset val="134"/>
          </rPr>
          <t>的倒数，其次因为氢热值约为天然气</t>
        </r>
        <r>
          <rPr>
            <sz val="10"/>
            <color rgb="FF000000"/>
            <rFont val="Microsoft YaHei UI"/>
            <family val="2"/>
            <charset val="134"/>
          </rPr>
          <t>1/3</t>
        </r>
        <r>
          <rPr>
            <sz val="10"/>
            <color rgb="FF000000"/>
            <rFont val="Microsoft YaHei UI"/>
            <family val="2"/>
            <charset val="134"/>
          </rPr>
          <t>，所以消耗电也约为</t>
        </r>
        <r>
          <rPr>
            <sz val="10"/>
            <color rgb="FF000000"/>
            <rFont val="Microsoft YaHei UI"/>
            <family val="2"/>
            <charset val="134"/>
          </rPr>
          <t>1/3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B1" authorId="0" shapeId="0" xr:uid="{08FA304B-3C48-C648-A792-977BA92DE772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对应</t>
        </r>
        <r>
          <rPr>
            <sz val="10"/>
            <color rgb="FF000000"/>
            <rFont val="Microsoft YaHei UI"/>
            <family val="2"/>
            <charset val="134"/>
          </rPr>
          <t>GasSource</t>
        </r>
        <r>
          <rPr>
            <sz val="10"/>
            <color rgb="FF000000"/>
            <rFont val="Microsoft YaHei UI"/>
            <family val="2"/>
            <charset val="134"/>
          </rPr>
          <t>的</t>
        </r>
        <r>
          <rPr>
            <sz val="10"/>
            <color rgb="FF000000"/>
            <rFont val="Microsoft YaHei UI"/>
            <family val="2"/>
            <charset val="134"/>
          </rPr>
          <t>Index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E1" authorId="0" shapeId="0" xr:uid="{55ED14DB-09F3-C141-8B5D-989CF9576B4C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原来是</t>
        </r>
        <r>
          <rPr>
            <sz val="10"/>
            <color rgb="FF000000"/>
            <rFont val="Microsoft YaHei UI"/>
            <family val="2"/>
            <charset val="134"/>
          </rPr>
          <t>6000</t>
        </r>
        <r>
          <rPr>
            <sz val="10"/>
            <color rgb="FF000000"/>
            <rFont val="Microsoft YaHei UI"/>
            <family val="2"/>
            <charset val="134"/>
          </rPr>
          <t>和</t>
        </r>
        <r>
          <rPr>
            <sz val="10"/>
            <color rgb="FF000000"/>
            <rFont val="Microsoft YaHei UI"/>
            <family val="2"/>
            <charset val="134"/>
          </rPr>
          <t>4500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B7" authorId="0" shapeId="0" xr:uid="{8BBE032E-CE65-CF41-B97D-B9BC294C0678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本来是</t>
        </r>
        <r>
          <rPr>
            <sz val="10"/>
            <color rgb="FF000000"/>
            <rFont val="宋体"/>
            <family val="3"/>
            <charset val="134"/>
            <scheme val="minor"/>
          </rPr>
          <t>0.048</t>
        </r>
        <r>
          <rPr>
            <sz val="10"/>
            <color rgb="FF000000"/>
            <rFont val="宋体"/>
            <family val="3"/>
            <charset val="134"/>
            <scheme val="minor"/>
          </rPr>
          <t>，因为这一点需要放置电解槽，所以</t>
        </r>
        <r>
          <rPr>
            <sz val="10"/>
            <color rgb="FF000000"/>
            <rFont val="宋体"/>
            <family val="3"/>
            <charset val="134"/>
            <scheme val="minor"/>
          </rPr>
          <t>load factor</t>
        </r>
        <r>
          <rPr>
            <sz val="10"/>
            <color rgb="FF000000"/>
            <rFont val="宋体"/>
            <family val="3"/>
            <charset val="134"/>
            <scheme val="minor"/>
          </rPr>
          <t>先设置为</t>
        </r>
        <r>
          <rPr>
            <sz val="10"/>
            <color rgb="FF000000"/>
            <rFont val="宋体"/>
            <family val="3"/>
            <charset val="134"/>
            <scheme val="minor"/>
          </rPr>
          <t>0</t>
        </r>
        <r>
          <rPr>
            <sz val="10"/>
            <color rgb="FF000000"/>
            <rFont val="宋体"/>
            <family val="3"/>
            <charset val="134"/>
            <scheme val="minor"/>
          </rPr>
          <t>了</t>
        </r>
        <r>
          <rPr>
            <sz val="10"/>
            <color rgb="FF000000"/>
            <rFont val="宋体"/>
            <family val="3"/>
            <charset val="134"/>
            <scheme val="minor"/>
          </rPr>
          <t xml:space="preserve">
</t>
        </r>
      </text>
    </comment>
    <comment ref="B16" authorId="0" shapeId="0" xr:uid="{61085D55-6F14-4240-856B-92AE375A098D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本来是</t>
        </r>
        <r>
          <rPr>
            <sz val="10"/>
            <color rgb="FF000000"/>
            <rFont val="Microsoft YaHei UI"/>
            <family val="2"/>
            <charset val="134"/>
          </rPr>
          <t>0.111</t>
        </r>
        <r>
          <rPr>
            <sz val="10"/>
            <color rgb="FF000000"/>
            <rFont val="Microsoft YaHei UI"/>
            <family val="2"/>
            <charset val="134"/>
          </rPr>
          <t>，因为这一点需要放置电解槽，所以</t>
        </r>
        <r>
          <rPr>
            <sz val="10"/>
            <color rgb="FF000000"/>
            <rFont val="Microsoft YaHei UI"/>
            <family val="2"/>
            <charset val="134"/>
          </rPr>
          <t>load factor</t>
        </r>
        <r>
          <rPr>
            <sz val="10"/>
            <color rgb="FF000000"/>
            <rFont val="Microsoft YaHei UI"/>
            <family val="2"/>
            <charset val="134"/>
          </rPr>
          <t>先设置为</t>
        </r>
        <r>
          <rPr>
            <sz val="10"/>
            <color rgb="FF000000"/>
            <rFont val="Microsoft YaHei UI"/>
            <family val="2"/>
            <charset val="134"/>
          </rPr>
          <t>0</t>
        </r>
        <r>
          <rPr>
            <sz val="10"/>
            <color rgb="FF000000"/>
            <rFont val="Microsoft YaHei UI"/>
            <family val="2"/>
            <charset val="134"/>
          </rPr>
          <t>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B1" authorId="0" shapeId="0" xr:uid="{DC2F3029-FBBD-A94B-BE68-DED9446C5EF5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风机是否参与惯量调频主要取决于参与惯量调频的成本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C2" authorId="0" shapeId="0" xr:uid="{DA107BC1-C96A-C144-8F6B-69E17C0F7B32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本来节点</t>
        </r>
        <r>
          <rPr>
            <sz val="10"/>
            <color rgb="FF000000"/>
            <rFont val="Microsoft YaHei UI"/>
            <family val="2"/>
            <charset val="134"/>
          </rPr>
          <t>0</t>
        </r>
        <r>
          <rPr>
            <sz val="10"/>
            <color rgb="FF000000"/>
            <rFont val="Microsoft YaHei UI"/>
            <family val="2"/>
            <charset val="134"/>
          </rPr>
          <t>和节点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的</t>
        </r>
        <r>
          <rPr>
            <sz val="10"/>
            <color rgb="FF000000"/>
            <rFont val="Microsoft YaHei UI"/>
            <family val="2"/>
            <charset val="134"/>
          </rPr>
          <t>Pmax</t>
        </r>
        <r>
          <rPr>
            <sz val="10"/>
            <color rgb="FF000000"/>
            <rFont val="Microsoft YaHei UI"/>
            <family val="2"/>
            <charset val="134"/>
          </rPr>
          <t>和</t>
        </r>
        <r>
          <rPr>
            <sz val="10"/>
            <color rgb="FF000000"/>
            <rFont val="Microsoft YaHei UI"/>
            <family val="2"/>
            <charset val="134"/>
          </rPr>
          <t>Pmin</t>
        </r>
        <r>
          <rPr>
            <sz val="10"/>
            <color rgb="FF000000"/>
            <rFont val="Microsoft YaHei UI"/>
            <family val="2"/>
            <charset val="134"/>
          </rPr>
          <t>分别是</t>
        </r>
        <r>
          <rPr>
            <sz val="10"/>
            <color rgb="FF000000"/>
            <rFont val="Microsoft YaHei UI"/>
            <family val="2"/>
            <charset val="134"/>
          </rPr>
          <t>12000</t>
        </r>
        <r>
          <rPr>
            <sz val="10"/>
            <color rgb="FF000000"/>
            <rFont val="Microsoft YaHei UI"/>
            <family val="2"/>
            <charset val="134"/>
          </rPr>
          <t>和</t>
        </r>
        <r>
          <rPr>
            <sz val="10"/>
            <color rgb="FF000000"/>
            <rFont val="Microsoft YaHei UI"/>
            <family val="2"/>
            <charset val="134"/>
          </rPr>
          <t>1000; 8000</t>
        </r>
        <r>
          <rPr>
            <sz val="10"/>
            <color rgb="FF000000"/>
            <rFont val="Microsoft YaHei UI"/>
            <family val="2"/>
            <charset val="134"/>
          </rPr>
          <t>和</t>
        </r>
        <r>
          <rPr>
            <sz val="10"/>
            <color rgb="FF000000"/>
            <rFont val="Microsoft YaHei UI"/>
            <family val="2"/>
            <charset val="134"/>
          </rPr>
          <t>1000</t>
        </r>
      </text>
    </comment>
    <comment ref="E2" authorId="0" shapeId="0" xr:uid="{A1F5B220-3349-A94E-AC6A-E6CCA9A07DC2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原来为</t>
        </r>
        <r>
          <rPr>
            <sz val="10"/>
            <color rgb="FF000000"/>
            <rFont val="Microsoft YaHei UI"/>
            <family val="2"/>
            <charset val="134"/>
          </rPr>
          <t>2.6</t>
        </r>
        <r>
          <rPr>
            <sz val="10"/>
            <color rgb="FF000000"/>
            <rFont val="Microsoft YaHei UI"/>
            <family val="2"/>
            <charset val="134"/>
          </rPr>
          <t>和</t>
        </r>
        <r>
          <rPr>
            <sz val="10"/>
            <color rgb="FF000000"/>
            <rFont val="Microsoft YaHei UI"/>
            <family val="2"/>
            <charset val="134"/>
          </rPr>
          <t>2.21</t>
        </r>
        <r>
          <rPr>
            <sz val="10"/>
            <color rgb="FF000000"/>
            <rFont val="Microsoft YaHei UI"/>
            <family val="2"/>
            <charset val="134"/>
          </rPr>
          <t>，预计</t>
        </r>
        <r>
          <rPr>
            <sz val="10"/>
            <color rgb="FF000000"/>
            <rFont val="Microsoft YaHei UI"/>
            <family val="2"/>
            <charset val="134"/>
          </rPr>
          <t>H2G</t>
        </r>
        <r>
          <rPr>
            <sz val="10"/>
            <color rgb="FF000000"/>
            <rFont val="Microsoft YaHei UI"/>
            <family val="2"/>
            <charset val="134"/>
          </rPr>
          <t>的成本比气井小一些（毕竟用的是自家的氢）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Haizhou Liu</author>
  </authors>
  <commentList>
    <comment ref="B6" authorId="0" shapeId="0" xr:uid="{1899B7AB-1F9D-A444-8C98-335507B6F8E9}">
      <text>
        <r>
          <rPr>
            <b/>
            <sz val="10"/>
            <color rgb="FF000000"/>
            <rFont val="Microsoft YaHei UI"/>
            <family val="2"/>
            <charset val="134"/>
          </rPr>
          <t>Haizhou Liu: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本来最后三个节点是</t>
        </r>
        <r>
          <rPr>
            <sz val="10"/>
            <color rgb="FF000000"/>
            <rFont val="Microsoft YaHei UI"/>
            <family val="2"/>
            <charset val="134"/>
          </rPr>
          <t>1:4:3</t>
        </r>
        <r>
          <rPr>
            <sz val="10"/>
            <color rgb="FF000000"/>
            <rFont val="Microsoft YaHei UI"/>
            <family val="2"/>
            <charset val="134"/>
          </rPr>
          <t>的负荷比例，但是因为最后两个节点要为</t>
        </r>
        <r>
          <rPr>
            <sz val="10"/>
            <color rgb="FF000000"/>
            <rFont val="Microsoft YaHei UI"/>
            <family val="2"/>
            <charset val="134"/>
          </rPr>
          <t>MR</t>
        </r>
        <r>
          <rPr>
            <sz val="10"/>
            <color rgb="FF000000"/>
            <rFont val="Microsoft YaHei UI"/>
            <family val="2"/>
            <charset val="134"/>
          </rPr>
          <t>做基础，所以将负荷比例改成现在这样</t>
        </r>
      </text>
    </comment>
  </commentList>
</comments>
</file>

<file path=xl/sharedStrings.xml><?xml version="1.0" encoding="utf-8"?>
<sst xmlns="http://schemas.openxmlformats.org/spreadsheetml/2006/main" count="138" uniqueCount="81">
  <si>
    <t>Param</t>
  </si>
  <si>
    <t>Value</t>
  </si>
  <si>
    <t>SlackBus</t>
  </si>
  <si>
    <t>BaseGW</t>
  </si>
  <si>
    <t>Bus</t>
  </si>
  <si>
    <t>LoadFactor</t>
  </si>
  <si>
    <t>Pmax(GW)</t>
  </si>
  <si>
    <t>Pmin(GW)</t>
  </si>
  <si>
    <t>Hour</t>
  </si>
  <si>
    <t>WindGen1(GW)</t>
  </si>
  <si>
    <t>WindGen2(GW)</t>
  </si>
  <si>
    <t>Load(GW)</t>
  </si>
  <si>
    <t>Node</t>
  </si>
  <si>
    <t>Pmax(Psig)</t>
  </si>
  <si>
    <t>Pmin(Psig)</t>
  </si>
  <si>
    <t>Line</t>
  </si>
  <si>
    <t>FromNode</t>
  </si>
  <si>
    <t>ToNode</t>
  </si>
  <si>
    <t>Capacity(kcf)</t>
  </si>
  <si>
    <t>FlowDirection</t>
  </si>
  <si>
    <t>Length(m)</t>
  </si>
  <si>
    <t>Diameter(m)</t>
  </si>
  <si>
    <t>Pmax(kcf)</t>
  </si>
  <si>
    <t>Pmin(kcf)</t>
  </si>
  <si>
    <t>Compressor</t>
  </si>
  <si>
    <t>Rmin</t>
  </si>
  <si>
    <t>Rmax</t>
  </si>
  <si>
    <t>MaxFlow(kcf)</t>
  </si>
  <si>
    <t>ZC</t>
  </si>
  <si>
    <t>BC</t>
  </si>
  <si>
    <t>alpha</t>
  </si>
  <si>
    <t>beta</t>
  </si>
  <si>
    <t>gamma</t>
  </si>
  <si>
    <t>Load(kcf)</t>
  </si>
  <si>
    <t>ProductionCost(M$/GW)</t>
    <phoneticPr fontId="1" type="noConversion"/>
  </si>
  <si>
    <t>ReserveCost(M$/GW)</t>
    <phoneticPr fontId="1" type="noConversion"/>
  </si>
  <si>
    <t>StartUpCost(M$/GW)</t>
    <phoneticPr fontId="1" type="noConversion"/>
  </si>
  <si>
    <t>MaxRamp(GW)</t>
    <phoneticPr fontId="1" type="noConversion"/>
  </si>
  <si>
    <t>ProductionCost($/kcf)</t>
    <phoneticPr fontId="1" type="noConversion"/>
  </si>
  <si>
    <t>Efficiency</t>
    <phoneticPr fontId="1" type="noConversion"/>
  </si>
  <si>
    <t>Pmax(GW)</t>
    <phoneticPr fontId="1" type="noConversion"/>
  </si>
  <si>
    <t>FromBus</t>
  </si>
  <si>
    <t>ToBus</t>
  </si>
  <si>
    <t>X(p.u.)</t>
  </si>
  <si>
    <t>MaxFlow(GW)</t>
  </si>
  <si>
    <t>UCReserveCost(M$)</t>
    <phoneticPr fontId="1" type="noConversion"/>
  </si>
  <si>
    <t>MaxReserve(GW)</t>
    <phoneticPr fontId="1" type="noConversion"/>
  </si>
  <si>
    <t>C(kcf/Psig)</t>
    <phoneticPr fontId="1" type="noConversion"/>
  </si>
  <si>
    <t>ShutDownCost(M$/GW)</t>
    <phoneticPr fontId="1" type="noConversion"/>
  </si>
  <si>
    <t>Electrolyzer</t>
    <phoneticPr fontId="1" type="noConversion"/>
  </si>
  <si>
    <t>HydrogenNode</t>
    <phoneticPr fontId="1" type="noConversion"/>
  </si>
  <si>
    <t>MethanationReactor</t>
    <phoneticPr fontId="1" type="noConversion"/>
  </si>
  <si>
    <t>PowerBus</t>
    <phoneticPr fontId="1" type="noConversion"/>
  </si>
  <si>
    <t>GasNode</t>
    <phoneticPr fontId="1" type="noConversion"/>
  </si>
  <si>
    <t>Generator</t>
    <phoneticPr fontId="1" type="noConversion"/>
  </si>
  <si>
    <t>Type</t>
    <phoneticPr fontId="1" type="noConversion"/>
  </si>
  <si>
    <t>Gas</t>
    <phoneticPr fontId="1" type="noConversion"/>
  </si>
  <si>
    <t>Coal</t>
    <phoneticPr fontId="1" type="noConversion"/>
  </si>
  <si>
    <t>Well</t>
    <phoneticPr fontId="1" type="noConversion"/>
  </si>
  <si>
    <t>H2G</t>
    <phoneticPr fontId="1" type="noConversion"/>
  </si>
  <si>
    <t>G2P-Base</t>
    <phoneticPr fontId="1" type="noConversion"/>
  </si>
  <si>
    <t>H2G-Base</t>
    <phoneticPr fontId="1" type="noConversion"/>
  </si>
  <si>
    <t>P2H-Base</t>
    <phoneticPr fontId="1" type="noConversion"/>
  </si>
  <si>
    <t>Unit</t>
    <phoneticPr fontId="1" type="noConversion"/>
  </si>
  <si>
    <t>N/A</t>
    <phoneticPr fontId="1" type="noConversion"/>
  </si>
  <si>
    <t>GW</t>
    <phoneticPr fontId="1" type="noConversion"/>
  </si>
  <si>
    <t>kcf/GW</t>
    <phoneticPr fontId="1" type="noConversion"/>
  </si>
  <si>
    <t>GW/kcf</t>
    <phoneticPr fontId="1" type="noConversion"/>
  </si>
  <si>
    <t>kcf/kcf</t>
    <phoneticPr fontId="1" type="noConversion"/>
  </si>
  <si>
    <t>Gas-Pressure</t>
    <phoneticPr fontId="1" type="noConversion"/>
  </si>
  <si>
    <t>Hydrogen-Pressure</t>
    <phoneticPr fontId="1" type="noConversion"/>
  </si>
  <si>
    <t>kg/m3</t>
    <phoneticPr fontId="1" type="noConversion"/>
  </si>
  <si>
    <t>Length_Virtual(m)</t>
    <phoneticPr fontId="1" type="noConversion"/>
  </si>
  <si>
    <t>Diameter_Virtual(m)</t>
    <phoneticPr fontId="1" type="noConversion"/>
  </si>
  <si>
    <t>Source-Idx</t>
    <phoneticPr fontId="1" type="noConversion"/>
  </si>
  <si>
    <t>P2H-Index</t>
    <phoneticPr fontId="1" type="noConversion"/>
  </si>
  <si>
    <t>H2G-Index</t>
    <phoneticPr fontId="1" type="noConversion"/>
  </si>
  <si>
    <t>Source-Index</t>
    <phoneticPr fontId="1" type="noConversion"/>
  </si>
  <si>
    <t>MaxReserve(kcf)</t>
    <phoneticPr fontId="1" type="noConversion"/>
  </si>
  <si>
    <t>ReserveCost($/kcf)</t>
    <phoneticPr fontId="1" type="noConversion"/>
  </si>
  <si>
    <t>G2P-Index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</si>
</sst>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  <scheme val="minor"/>
    </font>
    <font>
      <b/>
      <sz val="11"/>
      <color theme="0" tint="-0.34998626667073579"/>
      <name val="Times New Roman"/>
      <family val="1"/>
    </font>
    <font>
      <sz val="11"/>
      <color theme="0" tint="-0.3499862666707357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4" fillId="4" borderId="0" xfId="0" applyFont="1" applyFill="1"/>
    <xf numFmtId="0" fontId="3" fillId="4" borderId="0" xfId="0" applyFont="1" applyFill="1"/>
    <xf numFmtId="0" fontId="2" fillId="4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178" workbookViewId="0">
      <selection activeCell="A14" sqref="A14"/>
    </sheetView>
  </sheetViews>
  <sheetFormatPr baseColWidth="10" defaultColWidth="8.83203125" defaultRowHeight="14"/>
  <cols>
    <col min="1" max="1" width="18.1640625" style="2" bestFit="1" customWidth="1"/>
    <col min="2" max="2" width="13.1640625" style="2" bestFit="1" customWidth="1"/>
    <col min="3" max="16384" width="8.83203125" style="2"/>
  </cols>
  <sheetData>
    <row r="1" spans="1:3">
      <c r="A1" s="1" t="s">
        <v>0</v>
      </c>
      <c r="B1" s="1" t="s">
        <v>1</v>
      </c>
      <c r="C1" s="3" t="s">
        <v>63</v>
      </c>
    </row>
    <row r="2" spans="1:3">
      <c r="A2" s="1" t="s">
        <v>2</v>
      </c>
      <c r="B2" s="2">
        <v>0</v>
      </c>
      <c r="C2" s="2" t="s">
        <v>64</v>
      </c>
    </row>
    <row r="3" spans="1:3">
      <c r="A3" s="1" t="s">
        <v>3</v>
      </c>
      <c r="B3" s="2">
        <v>0.1</v>
      </c>
      <c r="C3" s="2" t="s">
        <v>65</v>
      </c>
    </row>
    <row r="4" spans="1:3">
      <c r="A4" s="8" t="s">
        <v>60</v>
      </c>
      <c r="B4" s="2">
        <f>35.3147*1000/5</f>
        <v>7062.9400000000005</v>
      </c>
      <c r="C4" s="2" t="s">
        <v>66</v>
      </c>
    </row>
    <row r="5" spans="1:3">
      <c r="A5" s="8" t="s">
        <v>61</v>
      </c>
      <c r="B5" s="2">
        <v>4</v>
      </c>
      <c r="C5" s="2" t="s">
        <v>68</v>
      </c>
    </row>
    <row r="6" spans="1:3">
      <c r="A6" s="8" t="s">
        <v>62</v>
      </c>
      <c r="B6" s="2">
        <f>1/B4/3</f>
        <v>4.7194699846428445E-5</v>
      </c>
      <c r="C6" s="2" t="s">
        <v>67</v>
      </c>
    </row>
    <row r="7" spans="1:3">
      <c r="A7" s="8" t="s">
        <v>69</v>
      </c>
      <c r="B7" s="2">
        <v>0.71560000000000001</v>
      </c>
      <c r="C7" s="2" t="s">
        <v>71</v>
      </c>
    </row>
    <row r="8" spans="1:3">
      <c r="A8" s="8" t="s">
        <v>70</v>
      </c>
      <c r="B8" s="2">
        <v>8.9899999999999994E-2</v>
      </c>
      <c r="C8" s="2" t="s">
        <v>71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EDAA-9E17-3344-8770-F8AC4D20E0E3}">
  <dimension ref="A1:D3"/>
  <sheetViews>
    <sheetView zoomScale="213" workbookViewId="0">
      <pane xSplit="1" topLeftCell="B1" activePane="topRight" state="frozen"/>
      <selection pane="topRight" activeCell="D6" sqref="D6"/>
    </sheetView>
  </sheetViews>
  <sheetFormatPr baseColWidth="10" defaultRowHeight="14"/>
  <cols>
    <col min="1" max="1" width="10.83203125" style="2"/>
    <col min="2" max="2" width="19.5" style="2" bestFit="1" customWidth="1"/>
    <col min="3" max="3" width="14.1640625" style="2" bestFit="1" customWidth="1"/>
    <col min="4" max="16384" width="10.83203125" style="2"/>
  </cols>
  <sheetData>
    <row r="1" spans="1:4">
      <c r="A1" s="11" t="s">
        <v>76</v>
      </c>
      <c r="B1" s="3" t="s">
        <v>51</v>
      </c>
      <c r="C1" s="3" t="s">
        <v>50</v>
      </c>
      <c r="D1" s="3" t="s">
        <v>39</v>
      </c>
    </row>
    <row r="2" spans="1:4">
      <c r="A2" s="12">
        <v>0</v>
      </c>
      <c r="B2" s="2">
        <v>5</v>
      </c>
      <c r="C2" s="2">
        <v>5</v>
      </c>
      <c r="D2" s="2">
        <v>1</v>
      </c>
    </row>
    <row r="3" spans="1:4">
      <c r="A3" s="12">
        <v>1</v>
      </c>
      <c r="B3" s="2">
        <v>6</v>
      </c>
      <c r="C3" s="2">
        <v>6</v>
      </c>
      <c r="D3" s="2">
        <v>1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1CF-A4A8-8242-B095-D9BE2167C180}">
  <dimension ref="A1:F3"/>
  <sheetViews>
    <sheetView zoomScale="299" workbookViewId="0">
      <pane xSplit="1" topLeftCell="C1" activePane="topRight" state="frozen"/>
      <selection pane="topRight" activeCell="F3" sqref="F3"/>
    </sheetView>
  </sheetViews>
  <sheetFormatPr baseColWidth="10" defaultRowHeight="14"/>
  <cols>
    <col min="2" max="2" width="15.5" bestFit="1" customWidth="1"/>
    <col min="3" max="3" width="14.5" bestFit="1" customWidth="1"/>
    <col min="5" max="5" width="16.1640625" bestFit="1" customWidth="1"/>
    <col min="6" max="6" width="17.83203125" bestFit="1" customWidth="1"/>
  </cols>
  <sheetData>
    <row r="1" spans="1:6">
      <c r="A1" s="11" t="s">
        <v>75</v>
      </c>
      <c r="B1" s="3" t="s">
        <v>49</v>
      </c>
      <c r="C1" s="3" t="s">
        <v>52</v>
      </c>
      <c r="D1" s="3" t="s">
        <v>39</v>
      </c>
      <c r="E1" s="14" t="s">
        <v>78</v>
      </c>
      <c r="F1" s="14" t="s">
        <v>79</v>
      </c>
    </row>
    <row r="2" spans="1:6" s="2" customFormat="1">
      <c r="A2" s="12">
        <v>0</v>
      </c>
      <c r="B2" s="2">
        <v>0</v>
      </c>
      <c r="C2" s="2">
        <v>14</v>
      </c>
      <c r="D2" s="2">
        <v>1</v>
      </c>
      <c r="E2" s="4">
        <v>6000</v>
      </c>
      <c r="F2" s="4">
        <v>3.5</v>
      </c>
    </row>
    <row r="3" spans="1:6" s="2" customFormat="1">
      <c r="A3" s="12">
        <v>1</v>
      </c>
      <c r="B3" s="2">
        <v>1</v>
      </c>
      <c r="C3" s="2">
        <v>5</v>
      </c>
      <c r="D3" s="2">
        <v>1</v>
      </c>
      <c r="E3" s="4">
        <v>4500</v>
      </c>
      <c r="F3" s="4">
        <v>3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07FF-5839-8B4C-9675-6BA054ABB6DA}">
  <dimension ref="A1:D4"/>
  <sheetViews>
    <sheetView tabSelected="1" zoomScale="200" workbookViewId="0">
      <pane xSplit="1" topLeftCell="B1" activePane="topRight" state="frozen"/>
      <selection pane="topRight"/>
    </sheetView>
  </sheetViews>
  <sheetFormatPr baseColWidth="10" defaultRowHeight="14"/>
  <cols>
    <col min="1" max="16384" width="10.83203125" style="2"/>
  </cols>
  <sheetData>
    <row r="1" spans="1:4" s="3" customFormat="1">
      <c r="A1" s="11" t="s">
        <v>80</v>
      </c>
      <c r="B1" s="3" t="s">
        <v>54</v>
      </c>
      <c r="C1" s="3" t="s">
        <v>53</v>
      </c>
      <c r="D1" s="3" t="s">
        <v>39</v>
      </c>
    </row>
    <row r="2" spans="1:4">
      <c r="A2" s="12">
        <v>0</v>
      </c>
      <c r="B2" s="2">
        <v>4</v>
      </c>
      <c r="C2" s="2">
        <v>2</v>
      </c>
      <c r="D2" s="2">
        <v>1</v>
      </c>
    </row>
    <row r="3" spans="1:4">
      <c r="A3" s="12">
        <v>1</v>
      </c>
      <c r="B3" s="2">
        <v>0</v>
      </c>
      <c r="C3" s="2">
        <v>4</v>
      </c>
      <c r="D3" s="2">
        <v>1</v>
      </c>
    </row>
    <row r="4" spans="1:4">
      <c r="A4" s="12">
        <v>2</v>
      </c>
      <c r="B4" s="2">
        <v>3</v>
      </c>
      <c r="C4" s="2">
        <v>10</v>
      </c>
      <c r="D4" s="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B25"/>
  <sheetViews>
    <sheetView zoomScale="174" workbookViewId="0">
      <selection activeCell="E24" sqref="E24"/>
    </sheetView>
  </sheetViews>
  <sheetFormatPr baseColWidth="10" defaultColWidth="8.83203125" defaultRowHeight="14"/>
  <cols>
    <col min="1" max="1" width="6.83203125" style="2" customWidth="1"/>
    <col min="2" max="2" width="11.6640625" style="2" bestFit="1" customWidth="1"/>
    <col min="3" max="16384" width="8.83203125" style="2"/>
  </cols>
  <sheetData>
    <row r="1" spans="1:2">
      <c r="A1" s="1" t="s">
        <v>4</v>
      </c>
      <c r="B1" s="1" t="s">
        <v>5</v>
      </c>
    </row>
    <row r="2" spans="1:2">
      <c r="A2" s="2">
        <v>0</v>
      </c>
      <c r="B2" s="2">
        <v>3.7999999999999999E-2</v>
      </c>
    </row>
    <row r="3" spans="1:2">
      <c r="A3" s="2">
        <v>1</v>
      </c>
      <c r="B3" s="2">
        <v>3.4000000000000002E-2</v>
      </c>
    </row>
    <row r="4" spans="1:2">
      <c r="A4" s="2">
        <v>2</v>
      </c>
      <c r="B4" s="2">
        <v>6.3E-2</v>
      </c>
    </row>
    <row r="5" spans="1:2">
      <c r="A5" s="2">
        <v>3</v>
      </c>
      <c r="B5" s="2">
        <v>2.5999999999999999E-2</v>
      </c>
    </row>
    <row r="6" spans="1:2">
      <c r="A6" s="2">
        <v>4</v>
      </c>
      <c r="B6" s="2">
        <v>2.5000000000000001E-2</v>
      </c>
    </row>
    <row r="7" spans="1:2">
      <c r="A7" s="2">
        <v>5</v>
      </c>
      <c r="B7" s="7">
        <v>0</v>
      </c>
    </row>
    <row r="8" spans="1:2">
      <c r="A8" s="2">
        <v>6</v>
      </c>
      <c r="B8" s="2">
        <v>4.3999999999999997E-2</v>
      </c>
    </row>
    <row r="9" spans="1:2">
      <c r="A9" s="2">
        <v>7</v>
      </c>
      <c r="B9" s="2">
        <v>0.06</v>
      </c>
    </row>
    <row r="10" spans="1:2">
      <c r="A10" s="2">
        <v>8</v>
      </c>
      <c r="B10" s="2">
        <v>6.0999999999999999E-2</v>
      </c>
    </row>
    <row r="11" spans="1:2">
      <c r="A11" s="2">
        <v>9</v>
      </c>
      <c r="B11" s="2">
        <v>6.8000000000000005E-2</v>
      </c>
    </row>
    <row r="12" spans="1:2">
      <c r="A12" s="2">
        <v>10</v>
      </c>
      <c r="B12" s="2">
        <v>0</v>
      </c>
    </row>
    <row r="13" spans="1:2">
      <c r="A13" s="2">
        <v>11</v>
      </c>
      <c r="B13" s="2">
        <v>0</v>
      </c>
    </row>
    <row r="14" spans="1:2">
      <c r="A14" s="2">
        <v>12</v>
      </c>
      <c r="B14" s="2">
        <v>9.2999999999999999E-2</v>
      </c>
    </row>
    <row r="15" spans="1:2">
      <c r="A15" s="2">
        <v>13</v>
      </c>
      <c r="B15" s="2">
        <v>6.8000000000000005E-2</v>
      </c>
    </row>
    <row r="16" spans="1:2">
      <c r="A16" s="2">
        <v>14</v>
      </c>
      <c r="B16" s="7">
        <v>0</v>
      </c>
    </row>
    <row r="17" spans="1:2">
      <c r="A17" s="2">
        <v>15</v>
      </c>
      <c r="B17" s="2">
        <v>3.5000000000000003E-2</v>
      </c>
    </row>
    <row r="18" spans="1:2">
      <c r="A18" s="2">
        <v>16</v>
      </c>
      <c r="B18" s="2">
        <v>0</v>
      </c>
    </row>
    <row r="19" spans="1:2">
      <c r="A19" s="2">
        <v>17</v>
      </c>
      <c r="B19" s="2">
        <v>0.11700000000000001</v>
      </c>
    </row>
    <row r="20" spans="1:2">
      <c r="A20" s="2">
        <v>18</v>
      </c>
      <c r="B20" s="2">
        <v>6.4000000000000001E-2</v>
      </c>
    </row>
    <row r="21" spans="1:2">
      <c r="A21" s="2">
        <v>19</v>
      </c>
      <c r="B21" s="2">
        <v>4.4999999999999998E-2</v>
      </c>
    </row>
    <row r="22" spans="1:2">
      <c r="A22" s="2">
        <v>20</v>
      </c>
      <c r="B22" s="2">
        <v>0</v>
      </c>
    </row>
    <row r="23" spans="1:2">
      <c r="A23" s="2">
        <v>21</v>
      </c>
      <c r="B23" s="2">
        <v>0</v>
      </c>
    </row>
    <row r="24" spans="1:2">
      <c r="A24" s="2">
        <v>22</v>
      </c>
      <c r="B24" s="2">
        <v>0</v>
      </c>
    </row>
    <row r="25" spans="1:2">
      <c r="A25" s="2">
        <v>23</v>
      </c>
      <c r="B25" s="2">
        <v>0</v>
      </c>
    </row>
  </sheetData>
  <phoneticPr fontId="1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9CAF-5403-5146-A40A-14F52A3813BF}">
  <sheetPr>
    <tabColor theme="9" tint="0.79998168889431442"/>
  </sheetPr>
  <dimension ref="A1:D39"/>
  <sheetViews>
    <sheetView zoomScale="188" workbookViewId="0">
      <selection activeCell="E17" sqref="E17"/>
    </sheetView>
  </sheetViews>
  <sheetFormatPr baseColWidth="10" defaultRowHeight="14"/>
  <cols>
    <col min="1" max="16384" width="10.83203125" style="2"/>
  </cols>
  <sheetData>
    <row r="1" spans="1:4" s="3" customFormat="1">
      <c r="A1" s="5" t="s">
        <v>41</v>
      </c>
      <c r="B1" s="5" t="s">
        <v>42</v>
      </c>
      <c r="C1" s="5" t="s">
        <v>43</v>
      </c>
      <c r="D1" s="5" t="s">
        <v>44</v>
      </c>
    </row>
    <row r="2" spans="1:4">
      <c r="A2" s="4">
        <v>0</v>
      </c>
      <c r="B2" s="4">
        <v>1</v>
      </c>
      <c r="C2" s="4">
        <v>1.3899999999999999E-2</v>
      </c>
      <c r="D2" s="4">
        <v>0.17499999999999999</v>
      </c>
    </row>
    <row r="3" spans="1:4">
      <c r="A3" s="4">
        <v>0</v>
      </c>
      <c r="B3" s="4">
        <v>2</v>
      </c>
      <c r="C3" s="4">
        <v>0.2112</v>
      </c>
      <c r="D3" s="4">
        <v>0.17499999999999999</v>
      </c>
    </row>
    <row r="4" spans="1:4">
      <c r="A4" s="4">
        <v>0</v>
      </c>
      <c r="B4" s="4">
        <v>4</v>
      </c>
      <c r="C4" s="4">
        <v>8.4500000000000006E-2</v>
      </c>
      <c r="D4" s="4">
        <v>0.17499999999999999</v>
      </c>
    </row>
    <row r="5" spans="1:4">
      <c r="A5" s="4">
        <v>1</v>
      </c>
      <c r="B5" s="4">
        <v>3</v>
      </c>
      <c r="C5" s="4">
        <v>0.12670000000000001</v>
      </c>
      <c r="D5" s="4">
        <v>0.17499999999999999</v>
      </c>
    </row>
    <row r="6" spans="1:4">
      <c r="A6" s="4">
        <v>1</v>
      </c>
      <c r="B6" s="4">
        <v>5</v>
      </c>
      <c r="C6" s="4">
        <v>0.192</v>
      </c>
      <c r="D6" s="4">
        <v>0.17499999999999999</v>
      </c>
    </row>
    <row r="7" spans="1:4">
      <c r="A7" s="4">
        <v>2</v>
      </c>
      <c r="B7" s="4">
        <v>8</v>
      </c>
      <c r="C7" s="4">
        <v>0.11899999999999999</v>
      </c>
      <c r="D7" s="4">
        <v>0.17499999999999999</v>
      </c>
    </row>
    <row r="8" spans="1:4">
      <c r="A8" s="4">
        <v>2</v>
      </c>
      <c r="B8" s="4">
        <v>23</v>
      </c>
      <c r="C8" s="4">
        <v>8.3900000000000002E-2</v>
      </c>
      <c r="D8" s="4">
        <v>0.4</v>
      </c>
    </row>
    <row r="9" spans="1:4">
      <c r="A9" s="4">
        <v>3</v>
      </c>
      <c r="B9" s="4">
        <v>8</v>
      </c>
      <c r="C9" s="4">
        <v>0.1037</v>
      </c>
      <c r="D9" s="4">
        <v>0.17499999999999999</v>
      </c>
    </row>
    <row r="10" spans="1:4">
      <c r="A10" s="4">
        <v>4</v>
      </c>
      <c r="B10" s="4">
        <v>9</v>
      </c>
      <c r="C10" s="4">
        <v>8.8300000000000003E-2</v>
      </c>
      <c r="D10" s="4">
        <v>0.17499999999999999</v>
      </c>
    </row>
    <row r="11" spans="1:4">
      <c r="A11" s="4">
        <v>5</v>
      </c>
      <c r="B11" s="4">
        <v>9</v>
      </c>
      <c r="C11" s="4">
        <v>6.0499999999999998E-2</v>
      </c>
      <c r="D11" s="4">
        <v>0.17499999999999999</v>
      </c>
    </row>
    <row r="12" spans="1:4">
      <c r="A12" s="4">
        <v>6</v>
      </c>
      <c r="B12" s="4">
        <v>7</v>
      </c>
      <c r="C12" s="4">
        <v>6.1400000000000003E-2</v>
      </c>
      <c r="D12" s="4">
        <v>0.17499999999999999</v>
      </c>
    </row>
    <row r="13" spans="1:4">
      <c r="A13" s="4">
        <v>7</v>
      </c>
      <c r="B13" s="4">
        <v>8</v>
      </c>
      <c r="C13" s="4">
        <v>0.1651</v>
      </c>
      <c r="D13" s="4">
        <v>0.17499999999999999</v>
      </c>
    </row>
    <row r="14" spans="1:4">
      <c r="A14" s="4">
        <v>7</v>
      </c>
      <c r="B14" s="4">
        <v>9</v>
      </c>
      <c r="C14" s="4">
        <v>0.1651</v>
      </c>
      <c r="D14" s="4">
        <v>0.17499999999999999</v>
      </c>
    </row>
    <row r="15" spans="1:4">
      <c r="A15" s="4">
        <v>8</v>
      </c>
      <c r="B15" s="4">
        <v>10</v>
      </c>
      <c r="C15" s="4">
        <v>8.3900000000000002E-2</v>
      </c>
      <c r="D15" s="4">
        <v>0.4</v>
      </c>
    </row>
    <row r="16" spans="1:4">
      <c r="A16" s="4">
        <v>8</v>
      </c>
      <c r="B16" s="4">
        <v>11</v>
      </c>
      <c r="C16" s="4">
        <v>8.3900000000000002E-2</v>
      </c>
      <c r="D16" s="4">
        <v>0.4</v>
      </c>
    </row>
    <row r="17" spans="1:4">
      <c r="A17" s="4">
        <v>9</v>
      </c>
      <c r="B17" s="4">
        <v>10</v>
      </c>
      <c r="C17" s="4">
        <v>8.3900000000000002E-2</v>
      </c>
      <c r="D17" s="4">
        <v>0.4</v>
      </c>
    </row>
    <row r="18" spans="1:4">
      <c r="A18" s="4">
        <v>9</v>
      </c>
      <c r="B18" s="4">
        <v>11</v>
      </c>
      <c r="C18" s="4">
        <v>8.3900000000000002E-2</v>
      </c>
      <c r="D18" s="4">
        <v>0.4</v>
      </c>
    </row>
    <row r="19" spans="1:4">
      <c r="A19" s="4">
        <v>10</v>
      </c>
      <c r="B19" s="4">
        <v>12</v>
      </c>
      <c r="C19" s="4">
        <v>4.7600000000000003E-2</v>
      </c>
      <c r="D19" s="4">
        <v>0.5</v>
      </c>
    </row>
    <row r="20" spans="1:4">
      <c r="A20" s="4">
        <v>10</v>
      </c>
      <c r="B20" s="4">
        <v>13</v>
      </c>
      <c r="C20" s="4">
        <v>4.1799999999999997E-2</v>
      </c>
      <c r="D20" s="4">
        <v>0.5</v>
      </c>
    </row>
    <row r="21" spans="1:4">
      <c r="A21" s="4">
        <v>11</v>
      </c>
      <c r="B21" s="4">
        <v>12</v>
      </c>
      <c r="C21" s="4">
        <v>4.7600000000000003E-2</v>
      </c>
      <c r="D21" s="4">
        <v>0.5</v>
      </c>
    </row>
    <row r="22" spans="1:4">
      <c r="A22" s="4">
        <v>11</v>
      </c>
      <c r="B22" s="4">
        <v>22</v>
      </c>
      <c r="C22" s="4">
        <v>9.6600000000000005E-2</v>
      </c>
      <c r="D22" s="4">
        <v>0.5</v>
      </c>
    </row>
    <row r="23" spans="1:4">
      <c r="A23" s="4">
        <v>12</v>
      </c>
      <c r="B23" s="4">
        <v>22</v>
      </c>
      <c r="C23" s="4">
        <v>8.6499999999999994E-2</v>
      </c>
      <c r="D23" s="4">
        <v>0.5</v>
      </c>
    </row>
    <row r="24" spans="1:4">
      <c r="A24" s="4">
        <v>13</v>
      </c>
      <c r="B24" s="4">
        <v>15</v>
      </c>
      <c r="C24" s="4">
        <v>3.8899999999999997E-2</v>
      </c>
      <c r="D24" s="4">
        <v>0.5</v>
      </c>
    </row>
    <row r="25" spans="1:4">
      <c r="A25" s="4">
        <v>14</v>
      </c>
      <c r="B25" s="4">
        <v>15</v>
      </c>
      <c r="C25" s="4">
        <v>1.7299999999999999E-2</v>
      </c>
      <c r="D25" s="4">
        <v>0.5</v>
      </c>
    </row>
    <row r="26" spans="1:4">
      <c r="A26" s="4">
        <v>14</v>
      </c>
      <c r="B26" s="4">
        <v>20</v>
      </c>
      <c r="C26" s="4">
        <v>4.9000000000000002E-2</v>
      </c>
      <c r="D26" s="4">
        <v>0.5</v>
      </c>
    </row>
    <row r="27" spans="1:4">
      <c r="A27" s="4">
        <v>14</v>
      </c>
      <c r="B27" s="4">
        <v>20</v>
      </c>
      <c r="C27" s="4">
        <v>4.9000000000000002E-2</v>
      </c>
      <c r="D27" s="4">
        <v>0.5</v>
      </c>
    </row>
    <row r="28" spans="1:4">
      <c r="A28" s="4">
        <v>14</v>
      </c>
      <c r="B28" s="4">
        <v>23</v>
      </c>
      <c r="C28" s="4">
        <v>5.1900000000000002E-2</v>
      </c>
      <c r="D28" s="4">
        <v>0.5</v>
      </c>
    </row>
    <row r="29" spans="1:4">
      <c r="A29" s="4">
        <v>15</v>
      </c>
      <c r="B29" s="4">
        <v>16</v>
      </c>
      <c r="C29" s="4">
        <v>2.5899999999999999E-2</v>
      </c>
      <c r="D29" s="4">
        <v>0.5</v>
      </c>
    </row>
    <row r="30" spans="1:4">
      <c r="A30" s="4">
        <v>15</v>
      </c>
      <c r="B30" s="4">
        <v>18</v>
      </c>
      <c r="C30" s="4">
        <v>2.3099999999999999E-2</v>
      </c>
      <c r="D30" s="4">
        <v>0.5</v>
      </c>
    </row>
    <row r="31" spans="1:4">
      <c r="A31" s="4">
        <v>16</v>
      </c>
      <c r="B31" s="4">
        <v>17</v>
      </c>
      <c r="C31" s="4">
        <v>1.44E-2</v>
      </c>
      <c r="D31" s="4">
        <v>0.5</v>
      </c>
    </row>
    <row r="32" spans="1:4">
      <c r="A32" s="4">
        <v>16</v>
      </c>
      <c r="B32" s="4">
        <v>21</v>
      </c>
      <c r="C32" s="4">
        <v>0.1053</v>
      </c>
      <c r="D32" s="4">
        <v>0.5</v>
      </c>
    </row>
    <row r="33" spans="1:4">
      <c r="A33" s="4">
        <v>17</v>
      </c>
      <c r="B33" s="4">
        <v>20</v>
      </c>
      <c r="C33" s="4">
        <v>2.5899999999999999E-2</v>
      </c>
      <c r="D33" s="4">
        <v>0.5</v>
      </c>
    </row>
    <row r="34" spans="1:4">
      <c r="A34" s="4">
        <v>17</v>
      </c>
      <c r="B34" s="4">
        <v>20</v>
      </c>
      <c r="C34" s="4">
        <v>2.5899999999999999E-2</v>
      </c>
      <c r="D34" s="4">
        <v>0.5</v>
      </c>
    </row>
    <row r="35" spans="1:4">
      <c r="A35" s="4">
        <v>18</v>
      </c>
      <c r="B35" s="4">
        <v>19</v>
      </c>
      <c r="C35" s="4">
        <v>3.9600000000000003E-2</v>
      </c>
      <c r="D35" s="4">
        <v>0.5</v>
      </c>
    </row>
    <row r="36" spans="1:4">
      <c r="A36" s="4">
        <v>18</v>
      </c>
      <c r="B36" s="4">
        <v>19</v>
      </c>
      <c r="C36" s="4">
        <v>3.9600000000000003E-2</v>
      </c>
      <c r="D36" s="4">
        <v>0.5</v>
      </c>
    </row>
    <row r="37" spans="1:4">
      <c r="A37" s="4">
        <v>19</v>
      </c>
      <c r="B37" s="4">
        <v>22</v>
      </c>
      <c r="C37" s="4">
        <v>2.1600000000000001E-2</v>
      </c>
      <c r="D37" s="4">
        <v>0.5</v>
      </c>
    </row>
    <row r="38" spans="1:4">
      <c r="A38" s="4">
        <v>19</v>
      </c>
      <c r="B38" s="4">
        <v>22</v>
      </c>
      <c r="C38" s="4">
        <v>2.1600000000000001E-2</v>
      </c>
      <c r="D38" s="4">
        <v>0.5</v>
      </c>
    </row>
    <row r="39" spans="1:4">
      <c r="A39" s="4">
        <v>20</v>
      </c>
      <c r="B39" s="4">
        <v>21</v>
      </c>
      <c r="C39" s="4">
        <v>6.7799999999999999E-2</v>
      </c>
      <c r="D39" s="4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J9"/>
  <sheetViews>
    <sheetView zoomScale="150" workbookViewId="0">
      <selection activeCell="I7" sqref="I7"/>
    </sheetView>
  </sheetViews>
  <sheetFormatPr baseColWidth="10" defaultColWidth="8.83203125" defaultRowHeight="14"/>
  <cols>
    <col min="1" max="1" width="8.83203125" style="2"/>
    <col min="2" max="3" width="10" style="2" bestFit="1" customWidth="1"/>
    <col min="4" max="4" width="23.1640625" style="2" bestFit="1" customWidth="1"/>
    <col min="5" max="5" width="8.83203125" style="2"/>
    <col min="6" max="6" width="19" style="2" bestFit="1" customWidth="1"/>
    <col min="7" max="7" width="20.6640625" style="2" bestFit="1" customWidth="1"/>
    <col min="8" max="8" width="15.5" style="2" bestFit="1" customWidth="1"/>
    <col min="9" max="9" width="18.83203125" style="2" bestFit="1" customWidth="1"/>
    <col min="10" max="10" width="17.1640625" style="2" bestFit="1" customWidth="1"/>
    <col min="11" max="16384" width="8.83203125" style="2"/>
  </cols>
  <sheetData>
    <row r="1" spans="1:10">
      <c r="A1" s="1" t="s">
        <v>4</v>
      </c>
      <c r="B1" s="1" t="s">
        <v>6</v>
      </c>
      <c r="C1" s="1" t="s">
        <v>7</v>
      </c>
      <c r="D1" s="1" t="s">
        <v>34</v>
      </c>
      <c r="E1" s="1" t="s">
        <v>55</v>
      </c>
      <c r="F1" s="1" t="s">
        <v>36</v>
      </c>
      <c r="G1" s="1" t="s">
        <v>48</v>
      </c>
      <c r="H1" s="1" t="s">
        <v>37</v>
      </c>
      <c r="I1" s="1" t="s">
        <v>35</v>
      </c>
      <c r="J1" s="3" t="s">
        <v>46</v>
      </c>
    </row>
    <row r="2" spans="1:10">
      <c r="A2" s="6">
        <v>0</v>
      </c>
      <c r="B2" s="6">
        <v>0.4</v>
      </c>
      <c r="C2" s="6">
        <v>0.05</v>
      </c>
      <c r="D2" s="6">
        <v>0.44</v>
      </c>
      <c r="E2" s="6" t="s">
        <v>56</v>
      </c>
      <c r="F2" s="6">
        <v>0.15</v>
      </c>
      <c r="G2" s="6">
        <v>0.15</v>
      </c>
      <c r="H2" s="6">
        <v>0.19600000000000001</v>
      </c>
      <c r="I2" s="6">
        <v>7.1999999999999995E-2</v>
      </c>
      <c r="J2" s="6">
        <f>B2*0.4</f>
        <v>0.16000000000000003</v>
      </c>
    </row>
    <row r="3" spans="1:10">
      <c r="A3" s="2">
        <v>1</v>
      </c>
      <c r="B3" s="2">
        <v>0.192</v>
      </c>
      <c r="C3" s="2">
        <v>0.06</v>
      </c>
      <c r="D3" s="2">
        <v>0.42</v>
      </c>
      <c r="E3" s="2" t="s">
        <v>57</v>
      </c>
      <c r="F3" s="2">
        <v>0.15</v>
      </c>
      <c r="G3" s="2">
        <v>0.15</v>
      </c>
      <c r="H3" s="2">
        <v>5.7599999999999998E-2</v>
      </c>
      <c r="I3" s="2">
        <v>8.4000000000000005E-2</v>
      </c>
      <c r="J3" s="6">
        <f t="shared" ref="J3:J9" si="0">B3*0.4</f>
        <v>7.6800000000000007E-2</v>
      </c>
    </row>
    <row r="4" spans="1:10">
      <c r="A4" s="2">
        <v>6</v>
      </c>
      <c r="B4" s="2">
        <v>0.3</v>
      </c>
      <c r="C4" s="2">
        <v>0.08</v>
      </c>
      <c r="D4" s="2">
        <v>0.43</v>
      </c>
      <c r="E4" s="2" t="s">
        <v>57</v>
      </c>
      <c r="F4" s="2">
        <v>0.15</v>
      </c>
      <c r="G4" s="2">
        <v>0.15</v>
      </c>
      <c r="H4" s="2">
        <v>0.09</v>
      </c>
      <c r="I4" s="2">
        <v>8.5999999999999993E-2</v>
      </c>
      <c r="J4" s="6">
        <f t="shared" si="0"/>
        <v>0.12</v>
      </c>
    </row>
    <row r="5" spans="1:10">
      <c r="A5" s="6">
        <v>12</v>
      </c>
      <c r="B5" s="6">
        <v>0.39100000000000001</v>
      </c>
      <c r="C5" s="6">
        <v>0.09</v>
      </c>
      <c r="D5" s="6">
        <v>0.44</v>
      </c>
      <c r="E5" s="6" t="s">
        <v>56</v>
      </c>
      <c r="F5" s="6">
        <v>0.15</v>
      </c>
      <c r="G5" s="6">
        <v>0.15</v>
      </c>
      <c r="H5" s="6">
        <v>0.19550000000000001</v>
      </c>
      <c r="I5" s="6">
        <v>7.1999999999999995E-2</v>
      </c>
      <c r="J5" s="6">
        <f t="shared" si="0"/>
        <v>0.15640000000000001</v>
      </c>
    </row>
    <row r="6" spans="1:10">
      <c r="A6" s="6">
        <v>14</v>
      </c>
      <c r="B6" s="6">
        <v>0.315</v>
      </c>
      <c r="C6" s="6">
        <v>0.05</v>
      </c>
      <c r="D6" s="6">
        <v>0.44</v>
      </c>
      <c r="E6" s="6" t="s">
        <v>56</v>
      </c>
      <c r="F6" s="6">
        <v>0.15</v>
      </c>
      <c r="G6" s="6">
        <v>0.15</v>
      </c>
      <c r="H6" s="6">
        <v>0.1575</v>
      </c>
      <c r="I6" s="6">
        <v>7.3999999999999996E-2</v>
      </c>
      <c r="J6" s="6">
        <f t="shared" si="0"/>
        <v>0.126</v>
      </c>
    </row>
    <row r="7" spans="1:10">
      <c r="A7" s="2">
        <v>15</v>
      </c>
      <c r="B7" s="2">
        <v>0.155</v>
      </c>
      <c r="C7" s="2">
        <v>5.5E-2</v>
      </c>
      <c r="D7" s="2">
        <v>0.45</v>
      </c>
      <c r="E7" s="2" t="s">
        <v>57</v>
      </c>
      <c r="F7" s="2">
        <v>0.15</v>
      </c>
      <c r="G7" s="2">
        <v>0.15</v>
      </c>
      <c r="H7" s="2">
        <v>4.65E-2</v>
      </c>
      <c r="I7" s="2">
        <v>0.09</v>
      </c>
      <c r="J7" s="6">
        <f t="shared" si="0"/>
        <v>6.2E-2</v>
      </c>
    </row>
    <row r="8" spans="1:10">
      <c r="A8" s="2">
        <v>17</v>
      </c>
      <c r="B8" s="2">
        <v>0.4</v>
      </c>
      <c r="C8" s="2">
        <v>0.1</v>
      </c>
      <c r="D8" s="2">
        <v>0.46</v>
      </c>
      <c r="E8" s="2" t="s">
        <v>57</v>
      </c>
      <c r="F8" s="2">
        <v>0.15</v>
      </c>
      <c r="G8" s="2">
        <v>0.15</v>
      </c>
      <c r="H8" s="2">
        <v>0.12</v>
      </c>
      <c r="I8" s="2">
        <v>9.1999999999999998E-2</v>
      </c>
      <c r="J8" s="6">
        <f t="shared" si="0"/>
        <v>0.16000000000000003</v>
      </c>
    </row>
    <row r="9" spans="1:10">
      <c r="A9" s="2">
        <v>21</v>
      </c>
      <c r="B9" s="2">
        <v>0.4</v>
      </c>
      <c r="C9" s="2">
        <v>0.1</v>
      </c>
      <c r="D9" s="2">
        <v>0.45</v>
      </c>
      <c r="E9" s="2" t="s">
        <v>57</v>
      </c>
      <c r="F9" s="2">
        <v>0.15</v>
      </c>
      <c r="G9" s="2">
        <v>0.15</v>
      </c>
      <c r="H9" s="2">
        <v>0.12</v>
      </c>
      <c r="I9" s="2">
        <v>0.09</v>
      </c>
      <c r="J9" s="6">
        <f t="shared" si="0"/>
        <v>0.16000000000000003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1:E3"/>
  <sheetViews>
    <sheetView zoomScale="220" workbookViewId="0">
      <selection activeCell="F1" sqref="F1"/>
    </sheetView>
  </sheetViews>
  <sheetFormatPr baseColWidth="10" defaultColWidth="8.83203125" defaultRowHeight="14"/>
  <cols>
    <col min="1" max="1" width="8.33203125" style="2" customWidth="1"/>
    <col min="2" max="2" width="28.1640625" style="2" customWidth="1"/>
    <col min="3" max="3" width="10" style="2" bestFit="1" customWidth="1"/>
    <col min="4" max="4" width="20.6640625" style="2" bestFit="1" customWidth="1"/>
    <col min="5" max="16384" width="8.83203125" style="2"/>
  </cols>
  <sheetData>
    <row r="1" spans="1:5">
      <c r="A1" s="1" t="s">
        <v>4</v>
      </c>
      <c r="B1" s="1" t="s">
        <v>45</v>
      </c>
      <c r="C1" s="3" t="s">
        <v>40</v>
      </c>
      <c r="D1" s="3" t="s">
        <v>35</v>
      </c>
      <c r="E1" s="3" t="s">
        <v>46</v>
      </c>
    </row>
    <row r="2" spans="1:5">
      <c r="A2" s="2">
        <v>20</v>
      </c>
      <c r="B2" s="2">
        <v>1E-4</v>
      </c>
      <c r="C2" s="2">
        <f>MAX('Power-WindHourly'!B2:B25)</f>
        <v>0.3</v>
      </c>
      <c r="D2" s="2">
        <v>1.0800000000000001E-2</v>
      </c>
      <c r="E2" s="2">
        <v>0.03</v>
      </c>
    </row>
    <row r="3" spans="1:5">
      <c r="A3" s="2">
        <v>22</v>
      </c>
      <c r="B3" s="2">
        <v>1E-4</v>
      </c>
      <c r="C3" s="2">
        <f>MAX('Power-WindHourly'!C2:C25)</f>
        <v>0.182</v>
      </c>
      <c r="D3" s="2">
        <v>1.0800000000000001E-2</v>
      </c>
      <c r="E3" s="2">
        <v>1.8200000000000001E-2</v>
      </c>
    </row>
  </sheetData>
  <phoneticPr fontId="1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C25"/>
  <sheetViews>
    <sheetView zoomScale="232" workbookViewId="0">
      <selection activeCell="J24" sqref="J24"/>
    </sheetView>
  </sheetViews>
  <sheetFormatPr baseColWidth="10" defaultColWidth="8.83203125" defaultRowHeight="14"/>
  <cols>
    <col min="1" max="1" width="6.33203125" style="2" bestFit="1" customWidth="1"/>
    <col min="2" max="3" width="15.6640625" style="2" bestFit="1" customWidth="1"/>
    <col min="4" max="16384" width="8.83203125" style="2"/>
  </cols>
  <sheetData>
    <row r="1" spans="1:3">
      <c r="A1" s="1" t="s">
        <v>8</v>
      </c>
      <c r="B1" s="1" t="s">
        <v>9</v>
      </c>
      <c r="C1" s="1" t="s">
        <v>10</v>
      </c>
    </row>
    <row r="2" spans="1:3">
      <c r="A2" s="2">
        <v>0</v>
      </c>
      <c r="B2" s="2">
        <v>9.6000000000000002E-2</v>
      </c>
      <c r="C2" s="2">
        <v>5.3999999999999999E-2</v>
      </c>
    </row>
    <row r="3" spans="1:3">
      <c r="A3" s="2">
        <v>1</v>
      </c>
      <c r="B3" s="2">
        <v>0.12</v>
      </c>
      <c r="C3" s="2">
        <v>6.2E-2</v>
      </c>
    </row>
    <row r="4" spans="1:3">
      <c r="A4" s="2">
        <v>2</v>
      </c>
      <c r="B4" s="2">
        <v>0.14000000000000001</v>
      </c>
      <c r="C4" s="2">
        <v>0.06</v>
      </c>
    </row>
    <row r="5" spans="1:3">
      <c r="A5" s="2">
        <v>3</v>
      </c>
      <c r="B5" s="2">
        <v>0.16</v>
      </c>
      <c r="C5" s="2">
        <v>6.3E-2</v>
      </c>
    </row>
    <row r="6" spans="1:3">
      <c r="A6" s="2">
        <v>4</v>
      </c>
      <c r="B6" s="2">
        <v>0.17799999999999999</v>
      </c>
      <c r="C6" s="2">
        <v>0.06</v>
      </c>
    </row>
    <row r="7" spans="1:3">
      <c r="A7" s="2">
        <v>5</v>
      </c>
      <c r="B7" s="2">
        <v>0.18</v>
      </c>
      <c r="C7" s="2">
        <v>6.5000000000000002E-2</v>
      </c>
    </row>
    <row r="8" spans="1:3">
      <c r="A8" s="2">
        <v>6</v>
      </c>
      <c r="B8" s="2">
        <v>0.17799999999999999</v>
      </c>
      <c r="C8" s="2">
        <v>6.9000000000000006E-2</v>
      </c>
    </row>
    <row r="9" spans="1:3">
      <c r="A9" s="2">
        <v>7</v>
      </c>
      <c r="B9" s="2">
        <v>9.4E-2</v>
      </c>
      <c r="C9" s="2">
        <v>7.5999999999999998E-2</v>
      </c>
    </row>
    <row r="10" spans="1:3">
      <c r="A10" s="2">
        <v>8</v>
      </c>
      <c r="B10" s="2">
        <v>0.19400000000000001</v>
      </c>
      <c r="C10" s="2">
        <v>7.5999999999999998E-2</v>
      </c>
    </row>
    <row r="11" spans="1:3">
      <c r="A11" s="2">
        <v>9</v>
      </c>
      <c r="B11" s="2">
        <v>0.20399999999999999</v>
      </c>
      <c r="C11" s="2">
        <v>8.5999999999999993E-2</v>
      </c>
    </row>
    <row r="12" spans="1:3">
      <c r="A12" s="2">
        <v>10</v>
      </c>
      <c r="B12" s="2">
        <v>0.29399999999999998</v>
      </c>
      <c r="C12" s="2">
        <v>9.1999999999999998E-2</v>
      </c>
    </row>
    <row r="13" spans="1:3">
      <c r="A13" s="2">
        <v>11</v>
      </c>
      <c r="B13" s="2">
        <v>0.3</v>
      </c>
      <c r="C13" s="2">
        <v>9.9000000000000005E-2</v>
      </c>
    </row>
    <row r="14" spans="1:3">
      <c r="A14" s="2">
        <v>12</v>
      </c>
      <c r="B14" s="2">
        <v>0.29599999999999999</v>
      </c>
      <c r="C14" s="2">
        <v>0.10199999999999999</v>
      </c>
    </row>
    <row r="15" spans="1:3">
      <c r="A15" s="2">
        <v>13</v>
      </c>
      <c r="B15" s="2">
        <v>0.27800000000000002</v>
      </c>
      <c r="C15" s="2">
        <v>0.11700000000000001</v>
      </c>
    </row>
    <row r="16" spans="1:3">
      <c r="A16" s="2">
        <v>14</v>
      </c>
      <c r="B16" s="2">
        <v>0.26800000000000002</v>
      </c>
      <c r="C16" s="2">
        <v>0.121</v>
      </c>
    </row>
    <row r="17" spans="1:3">
      <c r="A17" s="2">
        <v>15</v>
      </c>
      <c r="B17" s="2">
        <v>0.108</v>
      </c>
      <c r="C17" s="2">
        <v>0.13600000000000001</v>
      </c>
    </row>
    <row r="18" spans="1:3">
      <c r="A18" s="2">
        <v>16</v>
      </c>
      <c r="B18" s="2">
        <v>6.8000000000000005E-2</v>
      </c>
      <c r="C18" s="2">
        <v>0.13600000000000001</v>
      </c>
    </row>
    <row r="19" spans="1:3">
      <c r="A19" s="2">
        <v>17</v>
      </c>
      <c r="B19" s="2">
        <v>7.0000000000000007E-2</v>
      </c>
      <c r="C19" s="2">
        <v>0.14699999999999999</v>
      </c>
    </row>
    <row r="20" spans="1:3">
      <c r="A20" s="2">
        <v>18</v>
      </c>
      <c r="B20" s="2">
        <v>0.23</v>
      </c>
      <c r="C20" s="2">
        <v>0.158</v>
      </c>
    </row>
    <row r="21" spans="1:3">
      <c r="A21" s="2">
        <v>19</v>
      </c>
      <c r="B21" s="2">
        <v>0.23200000000000001</v>
      </c>
      <c r="C21" s="2">
        <v>0.16500000000000001</v>
      </c>
    </row>
    <row r="22" spans="1:3">
      <c r="A22" s="2">
        <v>20</v>
      </c>
      <c r="B22" s="2">
        <v>0.19600000000000001</v>
      </c>
      <c r="C22" s="2">
        <v>0.16700000000000001</v>
      </c>
    </row>
    <row r="23" spans="1:3">
      <c r="A23" s="2">
        <v>21</v>
      </c>
      <c r="B23" s="2">
        <v>0.17399999999999999</v>
      </c>
      <c r="C23" s="2">
        <v>0.17599999999999999</v>
      </c>
    </row>
    <row r="24" spans="1:3">
      <c r="A24" s="2">
        <v>22</v>
      </c>
      <c r="B24" s="2">
        <v>9.1999999999999998E-2</v>
      </c>
      <c r="C24" s="2">
        <v>0.17599999999999999</v>
      </c>
    </row>
    <row r="25" spans="1:3">
      <c r="A25" s="2">
        <v>23</v>
      </c>
      <c r="B25" s="2">
        <v>0.12</v>
      </c>
      <c r="C25" s="2">
        <v>0.182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B25"/>
  <sheetViews>
    <sheetView zoomScale="169" workbookViewId="0">
      <selection activeCell="E6" sqref="E6"/>
    </sheetView>
  </sheetViews>
  <sheetFormatPr baseColWidth="10" defaultColWidth="8.83203125" defaultRowHeight="14"/>
  <cols>
    <col min="1" max="1" width="8.83203125" style="2"/>
    <col min="2" max="2" width="10.83203125" style="2" bestFit="1" customWidth="1"/>
  </cols>
  <sheetData>
    <row r="1" spans="1:2">
      <c r="A1" s="1" t="s">
        <v>8</v>
      </c>
      <c r="B1" s="1" t="s">
        <v>11</v>
      </c>
    </row>
    <row r="2" spans="1:2">
      <c r="A2" s="2">
        <v>0</v>
      </c>
      <c r="B2" s="2">
        <v>1.274065</v>
      </c>
    </row>
    <row r="3" spans="1:2">
      <c r="A3" s="2">
        <v>1</v>
      </c>
      <c r="B3" s="2">
        <v>1.1804650000000001</v>
      </c>
    </row>
    <row r="4" spans="1:2">
      <c r="A4" s="2">
        <v>2</v>
      </c>
      <c r="B4" s="2">
        <v>1.1328849999999999</v>
      </c>
    </row>
    <row r="5" spans="1:2">
      <c r="A5" s="2">
        <v>3</v>
      </c>
      <c r="B5" s="2">
        <v>1.1328849999999999</v>
      </c>
    </row>
    <row r="6" spans="1:2">
      <c r="A6" s="2">
        <v>4</v>
      </c>
      <c r="B6" s="2">
        <v>1.100905</v>
      </c>
    </row>
    <row r="7" spans="1:2">
      <c r="A7" s="2">
        <v>5</v>
      </c>
      <c r="B7" s="2">
        <v>0.9144850000000001</v>
      </c>
    </row>
    <row r="8" spans="1:2">
      <c r="A8" s="2">
        <v>6</v>
      </c>
      <c r="B8" s="2">
        <v>1.1289849999999999</v>
      </c>
    </row>
    <row r="9" spans="1:2">
      <c r="A9" s="2">
        <v>7</v>
      </c>
      <c r="B9" s="2">
        <v>0.91370499999999999</v>
      </c>
    </row>
    <row r="10" spans="1:2">
      <c r="A10" s="2">
        <v>8</v>
      </c>
      <c r="B10" s="2">
        <v>0.85754500000000011</v>
      </c>
    </row>
    <row r="11" spans="1:2">
      <c r="A11" s="2">
        <v>9</v>
      </c>
      <c r="B11" s="2">
        <v>0.92774500000000015</v>
      </c>
    </row>
    <row r="12" spans="1:2">
      <c r="A12" s="2">
        <v>10</v>
      </c>
      <c r="B12" s="2">
        <v>0.94646500000000011</v>
      </c>
    </row>
    <row r="13" spans="1:2">
      <c r="A13" s="2">
        <v>11</v>
      </c>
      <c r="B13" s="2">
        <v>0.99326499999999995</v>
      </c>
    </row>
    <row r="14" spans="1:2">
      <c r="A14" s="2">
        <v>12</v>
      </c>
      <c r="B14" s="2">
        <v>1.226485</v>
      </c>
    </row>
    <row r="15" spans="1:2">
      <c r="A15" s="2">
        <v>13</v>
      </c>
      <c r="B15" s="2">
        <v>1.504945</v>
      </c>
    </row>
    <row r="16" spans="1:2">
      <c r="A16" s="2">
        <v>14</v>
      </c>
      <c r="B16" s="2">
        <v>1.9089849999999999</v>
      </c>
    </row>
    <row r="17" spans="1:2">
      <c r="A17" s="2">
        <v>15</v>
      </c>
      <c r="B17" s="2">
        <v>1.9596849999999999</v>
      </c>
    </row>
    <row r="18" spans="1:2">
      <c r="A18" s="2">
        <v>16</v>
      </c>
      <c r="B18" s="2">
        <v>1.8504849999999999</v>
      </c>
    </row>
    <row r="19" spans="1:2">
      <c r="A19" s="2">
        <v>17</v>
      </c>
      <c r="B19" s="2">
        <v>1.689805</v>
      </c>
    </row>
    <row r="20" spans="1:2">
      <c r="A20" s="2">
        <v>18</v>
      </c>
      <c r="B20" s="2">
        <v>1.509625</v>
      </c>
    </row>
    <row r="21" spans="1:2">
      <c r="A21" s="2">
        <v>19</v>
      </c>
      <c r="B21" s="2">
        <v>1.458925</v>
      </c>
    </row>
    <row r="22" spans="1:2">
      <c r="A22" s="2">
        <v>20</v>
      </c>
      <c r="B22" s="2">
        <v>1.4285049999999999</v>
      </c>
    </row>
    <row r="23" spans="1:2">
      <c r="A23" s="2">
        <v>21</v>
      </c>
      <c r="B23" s="2">
        <v>1.4113450000000001</v>
      </c>
    </row>
    <row r="24" spans="1:2">
      <c r="A24" s="2">
        <v>22</v>
      </c>
      <c r="B24" s="2">
        <v>1.4292849999999999</v>
      </c>
    </row>
    <row r="25" spans="1:2">
      <c r="A25" s="2">
        <v>23</v>
      </c>
      <c r="B25" s="2">
        <v>1.3185249999999999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D21"/>
  <sheetViews>
    <sheetView zoomScale="200" workbookViewId="0">
      <selection activeCell="B10" sqref="B10"/>
    </sheetView>
  </sheetViews>
  <sheetFormatPr baseColWidth="10" defaultColWidth="8.83203125" defaultRowHeight="14"/>
  <cols>
    <col min="1" max="1" width="6.1640625" style="2" bestFit="1" customWidth="1"/>
    <col min="2" max="2" width="11.6640625" style="2" bestFit="1" customWidth="1"/>
    <col min="3" max="3" width="11.33203125" style="2" bestFit="1" customWidth="1"/>
    <col min="4" max="4" width="10.83203125" style="2" bestFit="1" customWidth="1"/>
    <col min="5" max="16384" width="8.83203125" style="2"/>
  </cols>
  <sheetData>
    <row r="1" spans="1:4">
      <c r="A1" s="1" t="s">
        <v>12</v>
      </c>
      <c r="B1" s="1" t="s">
        <v>5</v>
      </c>
      <c r="C1" s="1" t="s">
        <v>13</v>
      </c>
      <c r="D1" s="1" t="s">
        <v>14</v>
      </c>
    </row>
    <row r="2" spans="1:4">
      <c r="A2" s="2">
        <v>0</v>
      </c>
      <c r="B2" s="2">
        <v>0</v>
      </c>
      <c r="C2" s="2">
        <v>320</v>
      </c>
      <c r="D2" s="2">
        <v>300</v>
      </c>
    </row>
    <row r="3" spans="1:4">
      <c r="A3" s="2">
        <v>1</v>
      </c>
      <c r="B3" s="2">
        <v>0</v>
      </c>
      <c r="C3" s="2">
        <v>320</v>
      </c>
      <c r="D3" s="2">
        <v>300</v>
      </c>
    </row>
    <row r="4" spans="1:4">
      <c r="A4" s="2">
        <v>2</v>
      </c>
      <c r="B4" s="2">
        <v>0</v>
      </c>
      <c r="C4" s="2">
        <v>305</v>
      </c>
      <c r="D4" s="2">
        <v>285</v>
      </c>
    </row>
    <row r="5" spans="1:4">
      <c r="A5" s="2">
        <v>3</v>
      </c>
      <c r="B5" s="2">
        <v>0.2</v>
      </c>
      <c r="C5" s="2">
        <v>295</v>
      </c>
      <c r="D5" s="2">
        <v>275</v>
      </c>
    </row>
    <row r="6" spans="1:4">
      <c r="A6" s="2">
        <v>4</v>
      </c>
      <c r="B6" s="2">
        <v>0</v>
      </c>
      <c r="C6" s="2">
        <v>265</v>
      </c>
      <c r="D6" s="2">
        <v>245</v>
      </c>
    </row>
    <row r="7" spans="1:4">
      <c r="A7" s="2">
        <v>5</v>
      </c>
      <c r="B7" s="2">
        <v>0.1</v>
      </c>
      <c r="C7" s="2">
        <v>305</v>
      </c>
      <c r="D7" s="2">
        <v>290</v>
      </c>
    </row>
    <row r="8" spans="1:4">
      <c r="A8" s="2">
        <v>6</v>
      </c>
      <c r="B8" s="2">
        <v>0</v>
      </c>
      <c r="C8" s="2">
        <v>310</v>
      </c>
      <c r="D8" s="2">
        <v>295</v>
      </c>
    </row>
    <row r="9" spans="1:4">
      <c r="A9" s="2">
        <v>7</v>
      </c>
      <c r="B9" s="2">
        <v>0</v>
      </c>
      <c r="C9" s="2">
        <v>285</v>
      </c>
      <c r="D9" s="2">
        <v>265</v>
      </c>
    </row>
    <row r="10" spans="1:4">
      <c r="A10" s="2">
        <v>8</v>
      </c>
      <c r="B10" s="2">
        <v>0.08</v>
      </c>
      <c r="C10" s="2">
        <v>270</v>
      </c>
      <c r="D10" s="2">
        <v>250</v>
      </c>
    </row>
    <row r="11" spans="1:4">
      <c r="A11" s="2">
        <v>9</v>
      </c>
      <c r="B11" s="2">
        <v>0.14000000000000001</v>
      </c>
      <c r="C11" s="2">
        <v>265</v>
      </c>
      <c r="D11" s="2">
        <v>245</v>
      </c>
    </row>
    <row r="12" spans="1:4">
      <c r="A12" s="2">
        <v>10</v>
      </c>
      <c r="B12" s="2">
        <v>0</v>
      </c>
      <c r="C12" s="2">
        <v>255</v>
      </c>
      <c r="D12" s="2">
        <v>235</v>
      </c>
    </row>
    <row r="13" spans="1:4">
      <c r="A13" s="2">
        <v>11</v>
      </c>
      <c r="B13" s="2">
        <v>0.22</v>
      </c>
      <c r="C13" s="2">
        <v>200</v>
      </c>
      <c r="D13" s="2">
        <v>180</v>
      </c>
    </row>
    <row r="14" spans="1:4">
      <c r="A14" s="2">
        <v>12</v>
      </c>
      <c r="B14" s="2">
        <v>0</v>
      </c>
      <c r="C14" s="2">
        <v>190</v>
      </c>
      <c r="D14" s="2">
        <v>170</v>
      </c>
    </row>
    <row r="15" spans="1:4">
      <c r="A15" s="2">
        <v>13</v>
      </c>
      <c r="B15" s="2">
        <v>0</v>
      </c>
      <c r="C15" s="2">
        <v>240</v>
      </c>
      <c r="D15" s="2">
        <v>220</v>
      </c>
    </row>
    <row r="16" spans="1:4">
      <c r="A16" s="2">
        <v>14</v>
      </c>
      <c r="B16" s="2">
        <v>0</v>
      </c>
      <c r="C16" s="2">
        <v>235</v>
      </c>
      <c r="D16" s="2">
        <v>215</v>
      </c>
    </row>
    <row r="17" spans="1:4">
      <c r="A17" s="2">
        <v>15</v>
      </c>
      <c r="B17" s="2">
        <v>0</v>
      </c>
      <c r="C17" s="2">
        <v>220</v>
      </c>
      <c r="D17" s="2">
        <v>210</v>
      </c>
    </row>
    <row r="18" spans="1:4">
      <c r="A18" s="2">
        <v>16</v>
      </c>
      <c r="B18" s="2">
        <v>0</v>
      </c>
      <c r="C18" s="2">
        <v>160</v>
      </c>
      <c r="D18" s="2">
        <v>140</v>
      </c>
    </row>
    <row r="19" spans="1:4">
      <c r="A19" s="2">
        <v>17</v>
      </c>
      <c r="B19" s="2">
        <v>0</v>
      </c>
      <c r="C19" s="2">
        <v>215</v>
      </c>
      <c r="D19" s="2">
        <v>185</v>
      </c>
    </row>
    <row r="20" spans="1:4">
      <c r="A20" s="2">
        <v>18</v>
      </c>
      <c r="B20" s="2">
        <v>0.06</v>
      </c>
      <c r="C20" s="2">
        <v>180</v>
      </c>
      <c r="D20" s="2">
        <v>170</v>
      </c>
    </row>
    <row r="21" spans="1:4">
      <c r="A21" s="2">
        <v>19</v>
      </c>
      <c r="B21" s="2">
        <v>0.2</v>
      </c>
      <c r="C21" s="2">
        <v>160</v>
      </c>
      <c r="D21" s="2">
        <v>140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H17"/>
  <sheetViews>
    <sheetView zoomScale="211" workbookViewId="0">
      <selection activeCell="G20" sqref="G20"/>
    </sheetView>
  </sheetViews>
  <sheetFormatPr baseColWidth="10" defaultColWidth="8.83203125" defaultRowHeight="14"/>
  <cols>
    <col min="1" max="3" width="8.83203125" style="2"/>
    <col min="4" max="4" width="11" style="2" bestFit="1" customWidth="1"/>
    <col min="5" max="5" width="13.1640625" style="2" bestFit="1" customWidth="1"/>
    <col min="6" max="6" width="13.6640625" style="2" bestFit="1" customWidth="1"/>
    <col min="7" max="7" width="10.5" style="2" bestFit="1" customWidth="1"/>
    <col min="8" max="8" width="12.33203125" style="2" bestFit="1" customWidth="1"/>
    <col min="9" max="16384" width="8.83203125" style="2"/>
  </cols>
  <sheetData>
    <row r="1" spans="1:8">
      <c r="A1" s="1" t="s">
        <v>15</v>
      </c>
      <c r="B1" s="1" t="s">
        <v>16</v>
      </c>
      <c r="C1" s="1" t="s">
        <v>17</v>
      </c>
      <c r="D1" s="1" t="s">
        <v>47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2">
        <v>0</v>
      </c>
      <c r="B2" s="2">
        <v>0</v>
      </c>
      <c r="C2" s="2">
        <v>1</v>
      </c>
      <c r="D2" s="2">
        <v>115</v>
      </c>
      <c r="E2" s="2">
        <v>10000</v>
      </c>
      <c r="F2" s="2">
        <v>1</v>
      </c>
      <c r="G2" s="2">
        <v>4414</v>
      </c>
      <c r="H2" s="2">
        <f>0.59</f>
        <v>0.59</v>
      </c>
    </row>
    <row r="3" spans="1:8">
      <c r="A3" s="2">
        <v>1</v>
      </c>
      <c r="B3" s="2">
        <v>1</v>
      </c>
      <c r="C3" s="2">
        <v>2</v>
      </c>
      <c r="D3" s="2">
        <v>112.5</v>
      </c>
      <c r="E3" s="2">
        <v>10000</v>
      </c>
      <c r="F3" s="2">
        <v>1</v>
      </c>
      <c r="G3" s="2">
        <v>4613</v>
      </c>
      <c r="H3" s="2">
        <f t="shared" ref="H3:H17" si="0">0.59</f>
        <v>0.59</v>
      </c>
    </row>
    <row r="4" spans="1:8">
      <c r="A4" s="2">
        <v>2</v>
      </c>
      <c r="B4" s="2">
        <v>2</v>
      </c>
      <c r="C4" s="2">
        <v>3</v>
      </c>
      <c r="D4" s="2">
        <v>65.099999999999994</v>
      </c>
      <c r="E4" s="2">
        <v>9500</v>
      </c>
      <c r="F4" s="2">
        <v>1</v>
      </c>
      <c r="G4" s="2">
        <v>13776</v>
      </c>
      <c r="H4" s="2">
        <f t="shared" si="0"/>
        <v>0.59</v>
      </c>
    </row>
    <row r="5" spans="1:8">
      <c r="A5" s="2">
        <v>3</v>
      </c>
      <c r="B5" s="2">
        <v>3</v>
      </c>
      <c r="C5" s="2">
        <v>7</v>
      </c>
      <c r="D5" s="2">
        <v>63.4</v>
      </c>
      <c r="E5" s="2">
        <v>8000</v>
      </c>
      <c r="F5" s="2">
        <v>1</v>
      </c>
      <c r="G5" s="2">
        <v>14524</v>
      </c>
      <c r="H5" s="2">
        <f t="shared" si="0"/>
        <v>0.59</v>
      </c>
    </row>
    <row r="6" spans="1:8">
      <c r="A6" s="2">
        <v>5</v>
      </c>
      <c r="B6" s="2">
        <v>5</v>
      </c>
      <c r="C6" s="2">
        <v>6</v>
      </c>
      <c r="D6" s="2">
        <v>66.099999999999994</v>
      </c>
      <c r="E6" s="2">
        <v>8000</v>
      </c>
      <c r="F6" s="2">
        <v>1</v>
      </c>
      <c r="G6" s="2">
        <v>13362</v>
      </c>
      <c r="H6" s="2">
        <f t="shared" si="0"/>
        <v>0.59</v>
      </c>
    </row>
    <row r="7" spans="1:8">
      <c r="A7" s="2">
        <v>6</v>
      </c>
      <c r="B7" s="2">
        <v>6</v>
      </c>
      <c r="C7" s="2">
        <v>3</v>
      </c>
      <c r="D7" s="2">
        <v>60</v>
      </c>
      <c r="E7" s="2">
        <v>5000</v>
      </c>
      <c r="F7" s="2">
        <v>1</v>
      </c>
      <c r="G7" s="2">
        <v>16217</v>
      </c>
      <c r="H7" s="2">
        <f t="shared" si="0"/>
        <v>0.59</v>
      </c>
    </row>
    <row r="8" spans="1:8">
      <c r="A8" s="2">
        <v>7</v>
      </c>
      <c r="B8" s="2">
        <v>7</v>
      </c>
      <c r="C8" s="2">
        <v>10</v>
      </c>
      <c r="D8" s="2">
        <v>61.3</v>
      </c>
      <c r="E8" s="2">
        <v>11000</v>
      </c>
      <c r="F8" s="2">
        <v>1</v>
      </c>
      <c r="G8" s="2">
        <v>15537</v>
      </c>
      <c r="H8" s="2">
        <f t="shared" si="0"/>
        <v>0.59</v>
      </c>
    </row>
    <row r="9" spans="1:8">
      <c r="A9" s="2">
        <v>8</v>
      </c>
      <c r="B9" s="2">
        <v>7</v>
      </c>
      <c r="C9" s="2">
        <v>8</v>
      </c>
      <c r="D9" s="2">
        <v>65</v>
      </c>
      <c r="E9" s="2">
        <v>6000</v>
      </c>
      <c r="F9" s="2">
        <v>1</v>
      </c>
      <c r="G9" s="2">
        <v>13818</v>
      </c>
      <c r="H9" s="2">
        <f t="shared" si="0"/>
        <v>0.59</v>
      </c>
    </row>
    <row r="10" spans="1:8">
      <c r="A10" s="2">
        <v>9</v>
      </c>
      <c r="B10" s="2">
        <v>8</v>
      </c>
      <c r="C10" s="2">
        <v>9</v>
      </c>
      <c r="D10" s="2">
        <v>61.5</v>
      </c>
      <c r="E10" s="2">
        <v>5000</v>
      </c>
      <c r="F10" s="2">
        <v>1</v>
      </c>
      <c r="G10" s="2">
        <v>15436</v>
      </c>
      <c r="H10" s="2">
        <f t="shared" si="0"/>
        <v>0.59</v>
      </c>
    </row>
    <row r="11" spans="1:8">
      <c r="A11" s="2">
        <v>10</v>
      </c>
      <c r="B11" s="2">
        <v>10</v>
      </c>
      <c r="C11" s="2">
        <v>11</v>
      </c>
      <c r="D11" s="2">
        <v>60</v>
      </c>
      <c r="E11" s="2">
        <v>12000</v>
      </c>
      <c r="F11" s="2">
        <v>1</v>
      </c>
      <c r="G11" s="2">
        <v>16217</v>
      </c>
      <c r="H11" s="2">
        <f t="shared" si="0"/>
        <v>0.59</v>
      </c>
    </row>
    <row r="12" spans="1:8">
      <c r="A12" s="2">
        <v>11</v>
      </c>
      <c r="B12" s="2">
        <v>11</v>
      </c>
      <c r="C12" s="2">
        <v>12</v>
      </c>
      <c r="D12" s="2">
        <v>62.5</v>
      </c>
      <c r="E12" s="2">
        <v>8000</v>
      </c>
      <c r="F12" s="2">
        <v>1</v>
      </c>
      <c r="G12" s="2">
        <v>14946</v>
      </c>
      <c r="H12" s="2">
        <f t="shared" si="0"/>
        <v>0.59</v>
      </c>
    </row>
    <row r="13" spans="1:8">
      <c r="A13" s="2">
        <v>13</v>
      </c>
      <c r="B13" s="2">
        <v>12</v>
      </c>
      <c r="C13" s="2">
        <v>16</v>
      </c>
      <c r="D13" s="2">
        <v>67.5</v>
      </c>
      <c r="E13" s="2">
        <v>8000</v>
      </c>
      <c r="F13" s="2">
        <v>1</v>
      </c>
      <c r="G13" s="2">
        <v>12814</v>
      </c>
      <c r="H13" s="2">
        <f t="shared" si="0"/>
        <v>0.59</v>
      </c>
    </row>
    <row r="14" spans="1:8">
      <c r="A14" s="2">
        <v>14</v>
      </c>
      <c r="B14" s="2">
        <v>13</v>
      </c>
      <c r="C14" s="2">
        <v>14</v>
      </c>
      <c r="D14" s="2">
        <v>61</v>
      </c>
      <c r="E14" s="2">
        <v>5000</v>
      </c>
      <c r="F14" s="2">
        <v>1</v>
      </c>
      <c r="G14" s="2">
        <v>15690</v>
      </c>
      <c r="H14" s="2">
        <f t="shared" si="0"/>
        <v>0.59</v>
      </c>
    </row>
    <row r="15" spans="1:8">
      <c r="A15" s="2">
        <v>15</v>
      </c>
      <c r="B15" s="2">
        <v>14</v>
      </c>
      <c r="C15" s="2">
        <v>15</v>
      </c>
      <c r="D15" s="2">
        <v>59</v>
      </c>
      <c r="E15" s="2">
        <v>5000</v>
      </c>
      <c r="F15" s="2">
        <v>1</v>
      </c>
      <c r="G15" s="2">
        <v>16772</v>
      </c>
      <c r="H15" s="2">
        <f t="shared" si="0"/>
        <v>0.59</v>
      </c>
    </row>
    <row r="16" spans="1:8">
      <c r="A16" s="2">
        <v>17</v>
      </c>
      <c r="B16" s="2">
        <v>17</v>
      </c>
      <c r="C16" s="2">
        <v>18</v>
      </c>
      <c r="D16" s="2">
        <v>65.900000000000006</v>
      </c>
      <c r="E16" s="2">
        <v>8000</v>
      </c>
      <c r="F16" s="2">
        <v>1</v>
      </c>
      <c r="G16" s="2">
        <v>13443</v>
      </c>
      <c r="H16" s="2">
        <f t="shared" si="0"/>
        <v>0.59</v>
      </c>
    </row>
    <row r="17" spans="1:8">
      <c r="A17" s="2">
        <v>18</v>
      </c>
      <c r="B17" s="2">
        <v>18</v>
      </c>
      <c r="C17" s="2">
        <v>19</v>
      </c>
      <c r="D17" s="2">
        <v>67</v>
      </c>
      <c r="E17" s="2">
        <v>6000</v>
      </c>
      <c r="F17" s="2">
        <v>1</v>
      </c>
      <c r="G17" s="2">
        <v>13006</v>
      </c>
      <c r="H17" s="2">
        <f t="shared" si="0"/>
        <v>0.59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F8"/>
  <sheetViews>
    <sheetView zoomScale="236" workbookViewId="0">
      <pane xSplit="1" topLeftCell="B1" activePane="topRight" state="frozen"/>
      <selection pane="topRight" activeCell="H7" sqref="H7"/>
    </sheetView>
  </sheetViews>
  <sheetFormatPr baseColWidth="10" defaultColWidth="8.83203125" defaultRowHeight="14"/>
  <cols>
    <col min="1" max="1" width="10.83203125" style="2" bestFit="1" customWidth="1"/>
    <col min="2" max="2" width="6.1640625" style="2" bestFit="1" customWidth="1"/>
    <col min="3" max="3" width="10.5" style="2" bestFit="1" customWidth="1"/>
    <col min="4" max="4" width="10" style="2" bestFit="1" customWidth="1"/>
    <col min="5" max="5" width="20.83203125" style="2" bestFit="1" customWidth="1"/>
    <col min="6" max="16384" width="8.83203125" style="2"/>
  </cols>
  <sheetData>
    <row r="1" spans="1:6">
      <c r="A1" s="11" t="s">
        <v>74</v>
      </c>
      <c r="B1" s="1" t="s">
        <v>12</v>
      </c>
      <c r="C1" s="1" t="s">
        <v>22</v>
      </c>
      <c r="D1" s="1" t="s">
        <v>23</v>
      </c>
      <c r="E1" s="1" t="s">
        <v>38</v>
      </c>
      <c r="F1" s="3" t="s">
        <v>55</v>
      </c>
    </row>
    <row r="2" spans="1:6">
      <c r="A2" s="12">
        <v>0</v>
      </c>
      <c r="B2" s="7">
        <v>0</v>
      </c>
      <c r="C2" s="7">
        <v>8640</v>
      </c>
      <c r="D2" s="7">
        <v>0</v>
      </c>
      <c r="E2" s="7">
        <v>2.6</v>
      </c>
      <c r="F2" s="7" t="s">
        <v>58</v>
      </c>
    </row>
    <row r="3" spans="1:6">
      <c r="A3" s="12">
        <v>1</v>
      </c>
      <c r="B3" s="7">
        <v>4</v>
      </c>
      <c r="C3" s="7">
        <v>5760</v>
      </c>
      <c r="D3" s="7">
        <v>0</v>
      </c>
      <c r="E3" s="7">
        <v>2.1</v>
      </c>
      <c r="F3" s="7" t="s">
        <v>58</v>
      </c>
    </row>
    <row r="4" spans="1:6">
      <c r="A4" s="12">
        <v>2</v>
      </c>
      <c r="B4" s="2">
        <v>7</v>
      </c>
      <c r="C4" s="2">
        <v>11520</v>
      </c>
      <c r="D4" s="2">
        <v>1000</v>
      </c>
      <c r="E4" s="2">
        <v>2.5</v>
      </c>
      <c r="F4" s="2" t="s">
        <v>58</v>
      </c>
    </row>
    <row r="5" spans="1:6">
      <c r="A5" s="12">
        <v>3</v>
      </c>
      <c r="B5" s="2">
        <v>10</v>
      </c>
      <c r="C5" s="2">
        <v>7200</v>
      </c>
      <c r="D5" s="2">
        <v>1000</v>
      </c>
      <c r="E5" s="2">
        <v>2.5</v>
      </c>
      <c r="F5" s="2" t="s">
        <v>58</v>
      </c>
    </row>
    <row r="6" spans="1:6">
      <c r="A6" s="12">
        <v>4</v>
      </c>
      <c r="B6" s="2">
        <v>12</v>
      </c>
      <c r="C6" s="2">
        <v>8640</v>
      </c>
      <c r="D6" s="2">
        <v>500</v>
      </c>
      <c r="E6" s="2">
        <v>2.2999999999999998</v>
      </c>
      <c r="F6" s="2" t="s">
        <v>58</v>
      </c>
    </row>
    <row r="7" spans="1:6">
      <c r="A7" s="12">
        <v>5</v>
      </c>
      <c r="B7" s="7">
        <v>0</v>
      </c>
      <c r="C7" s="7">
        <v>8640</v>
      </c>
      <c r="D7" s="7">
        <v>0</v>
      </c>
      <c r="E7" s="7">
        <v>2.1</v>
      </c>
      <c r="F7" s="7" t="s">
        <v>59</v>
      </c>
    </row>
    <row r="8" spans="1:6">
      <c r="A8" s="12">
        <v>6</v>
      </c>
      <c r="B8" s="7">
        <v>4</v>
      </c>
      <c r="C8" s="7">
        <v>5760</v>
      </c>
      <c r="D8" s="7">
        <v>0</v>
      </c>
      <c r="E8" s="7">
        <v>2.1</v>
      </c>
      <c r="F8" s="7" t="s">
        <v>59</v>
      </c>
    </row>
  </sheetData>
  <phoneticPr fontId="1" type="noConversion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</sheetPr>
  <dimension ref="A1:K4"/>
  <sheetViews>
    <sheetView zoomScale="214" workbookViewId="0">
      <selection activeCell="L21" sqref="L21"/>
    </sheetView>
  </sheetViews>
  <sheetFormatPr baseColWidth="10" defaultColWidth="8.83203125" defaultRowHeight="14"/>
  <cols>
    <col min="1" max="1" width="11.6640625" style="2" bestFit="1" customWidth="1"/>
    <col min="2" max="2" width="10.6640625" style="2" bestFit="1" customWidth="1"/>
    <col min="3" max="5" width="8.83203125" style="2"/>
    <col min="6" max="6" width="13.6640625" style="2" bestFit="1" customWidth="1"/>
    <col min="7" max="16384" width="8.83203125" style="2"/>
  </cols>
  <sheetData>
    <row r="1" spans="1:11">
      <c r="A1" s="1" t="s">
        <v>24</v>
      </c>
      <c r="B1" s="1" t="s">
        <v>16</v>
      </c>
      <c r="C1" s="1" t="s">
        <v>17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s="2">
        <v>0</v>
      </c>
      <c r="B2" s="2">
        <v>4</v>
      </c>
      <c r="C2" s="2">
        <v>5</v>
      </c>
      <c r="D2" s="2">
        <v>1.2</v>
      </c>
      <c r="E2" s="2">
        <v>1.8</v>
      </c>
      <c r="F2" s="2">
        <v>8000</v>
      </c>
      <c r="G2" s="2">
        <v>0.23400000000000001</v>
      </c>
      <c r="H2" s="2">
        <v>227</v>
      </c>
      <c r="I2" s="2">
        <v>0</v>
      </c>
      <c r="J2" s="2">
        <v>3.0000000000000001E-3</v>
      </c>
      <c r="K2" s="2">
        <v>0</v>
      </c>
    </row>
    <row r="3" spans="1:11">
      <c r="A3" s="2">
        <v>1</v>
      </c>
      <c r="B3" s="2">
        <v>12</v>
      </c>
      <c r="C3" s="2">
        <v>13</v>
      </c>
      <c r="D3" s="2">
        <v>1.2</v>
      </c>
      <c r="E3" s="2">
        <v>1.8</v>
      </c>
      <c r="F3" s="2">
        <v>5000</v>
      </c>
      <c r="G3" s="2">
        <v>0.23300000000000001</v>
      </c>
      <c r="H3" s="2">
        <v>226</v>
      </c>
      <c r="I3" s="2">
        <v>0</v>
      </c>
      <c r="J3" s="2">
        <v>2E-3</v>
      </c>
      <c r="K3" s="2">
        <v>0</v>
      </c>
    </row>
    <row r="4" spans="1:11">
      <c r="A4" s="2">
        <v>2</v>
      </c>
      <c r="B4" s="2">
        <v>16</v>
      </c>
      <c r="C4" s="2">
        <v>17</v>
      </c>
      <c r="D4" s="2">
        <v>1.2</v>
      </c>
      <c r="E4" s="2">
        <v>1.8</v>
      </c>
      <c r="F4" s="2">
        <v>8000</v>
      </c>
      <c r="G4" s="2">
        <v>0.23499999999999999</v>
      </c>
      <c r="H4" s="2">
        <v>228</v>
      </c>
      <c r="I4" s="2">
        <v>0</v>
      </c>
      <c r="J4" s="2">
        <v>3.0000000000000001E-3</v>
      </c>
      <c r="K4" s="2">
        <v>0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79998168889431442"/>
  </sheetPr>
  <dimension ref="A1:B25"/>
  <sheetViews>
    <sheetView zoomScale="228" workbookViewId="0">
      <selection activeCell="B1" sqref="B1:B1048576"/>
    </sheetView>
  </sheetViews>
  <sheetFormatPr baseColWidth="10" defaultColWidth="8.83203125" defaultRowHeight="14"/>
  <cols>
    <col min="1" max="2" width="13" style="2" bestFit="1" customWidth="1"/>
    <col min="3" max="16384" width="8.83203125" style="2"/>
  </cols>
  <sheetData>
    <row r="1" spans="1:2">
      <c r="A1" s="1" t="s">
        <v>12</v>
      </c>
      <c r="B1" s="1" t="s">
        <v>33</v>
      </c>
    </row>
    <row r="2" spans="1:2">
      <c r="A2" s="2">
        <v>0</v>
      </c>
      <c r="B2" s="2">
        <v>17993.013333333329</v>
      </c>
    </row>
    <row r="3" spans="1:2">
      <c r="A3" s="2">
        <v>1</v>
      </c>
      <c r="B3" s="2">
        <v>16830.400000000001</v>
      </c>
    </row>
    <row r="4" spans="1:2">
      <c r="A4" s="2">
        <v>2</v>
      </c>
      <c r="B4" s="2">
        <v>16369.6</v>
      </c>
    </row>
    <row r="5" spans="1:2">
      <c r="A5" s="2">
        <v>3</v>
      </c>
      <c r="B5" s="2">
        <v>16945.599999999999</v>
      </c>
    </row>
    <row r="6" spans="1:2">
      <c r="A6" s="2">
        <v>4</v>
      </c>
      <c r="B6" s="2">
        <v>17099.2</v>
      </c>
    </row>
    <row r="7" spans="1:2">
      <c r="A7" s="2">
        <v>5</v>
      </c>
      <c r="B7" s="2">
        <v>17483.2</v>
      </c>
    </row>
    <row r="8" spans="1:2">
      <c r="A8" s="2">
        <v>6</v>
      </c>
      <c r="B8" s="2">
        <v>19396.8</v>
      </c>
    </row>
    <row r="9" spans="1:2">
      <c r="A9" s="2">
        <v>7</v>
      </c>
      <c r="B9" s="2">
        <v>21681.599999999999</v>
      </c>
    </row>
    <row r="10" spans="1:2">
      <c r="A10" s="2">
        <v>8</v>
      </c>
      <c r="B10" s="2">
        <v>24996.799999999999</v>
      </c>
    </row>
    <row r="11" spans="1:2">
      <c r="A11" s="2">
        <v>9</v>
      </c>
      <c r="B11" s="2">
        <v>25412.799999999999</v>
      </c>
    </row>
    <row r="12" spans="1:2">
      <c r="A12" s="2">
        <v>10</v>
      </c>
      <c r="B12" s="2">
        <v>24516.799999999999</v>
      </c>
    </row>
    <row r="13" spans="1:2">
      <c r="A13" s="2">
        <v>11</v>
      </c>
      <c r="B13" s="2">
        <v>23198.400000000001</v>
      </c>
    </row>
    <row r="14" spans="1:2">
      <c r="A14" s="2">
        <v>12</v>
      </c>
      <c r="B14" s="2">
        <v>21720</v>
      </c>
    </row>
    <row r="15" spans="1:2">
      <c r="A15" s="2">
        <v>13</v>
      </c>
      <c r="B15" s="2">
        <v>21304</v>
      </c>
    </row>
    <row r="16" spans="1:2">
      <c r="A16" s="2">
        <v>14</v>
      </c>
      <c r="B16" s="2">
        <v>21054.400000000001</v>
      </c>
    </row>
    <row r="17" spans="1:2">
      <c r="A17" s="2">
        <v>15</v>
      </c>
      <c r="B17" s="2">
        <v>20913.599999999999</v>
      </c>
    </row>
    <row r="18" spans="1:2">
      <c r="A18" s="2">
        <v>16</v>
      </c>
      <c r="B18" s="2">
        <v>21060.799999999999</v>
      </c>
    </row>
    <row r="19" spans="1:2">
      <c r="A19" s="2">
        <v>17</v>
      </c>
      <c r="B19" s="2">
        <v>20192</v>
      </c>
    </row>
    <row r="20" spans="1:2">
      <c r="A20" s="2">
        <v>18</v>
      </c>
      <c r="B20" s="2">
        <v>19787.2</v>
      </c>
    </row>
    <row r="21" spans="1:2">
      <c r="A21" s="2">
        <v>19</v>
      </c>
      <c r="B21" s="2">
        <v>19019.2</v>
      </c>
    </row>
    <row r="22" spans="1:2">
      <c r="A22" s="2">
        <v>20</v>
      </c>
      <c r="B22" s="2">
        <v>18628.8</v>
      </c>
    </row>
    <row r="23" spans="1:2">
      <c r="A23" s="2">
        <v>21</v>
      </c>
      <c r="B23" s="2">
        <v>18628.8</v>
      </c>
    </row>
    <row r="24" spans="1:2">
      <c r="A24" s="2">
        <v>22</v>
      </c>
      <c r="B24" s="2">
        <v>18366.400000000001</v>
      </c>
    </row>
    <row r="25" spans="1:2">
      <c r="A25" s="2">
        <v>23</v>
      </c>
      <c r="B25" s="2">
        <v>16836.8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5C33-5403-EF49-818A-405AF12E7249}">
  <sheetPr>
    <tabColor theme="6" tint="0.79998168889431442"/>
  </sheetPr>
  <dimension ref="A1:D8"/>
  <sheetViews>
    <sheetView zoomScale="178" workbookViewId="0">
      <selection activeCell="E8" sqref="E8"/>
    </sheetView>
  </sheetViews>
  <sheetFormatPr baseColWidth="10" defaultRowHeight="14"/>
  <cols>
    <col min="1" max="16384" width="10.83203125" style="2"/>
  </cols>
  <sheetData>
    <row r="1" spans="1:4">
      <c r="A1" s="1" t="s">
        <v>12</v>
      </c>
      <c r="B1" s="1" t="s">
        <v>5</v>
      </c>
      <c r="C1" s="1" t="s">
        <v>13</v>
      </c>
      <c r="D1" s="1" t="s">
        <v>14</v>
      </c>
    </row>
    <row r="2" spans="1:4">
      <c r="A2" s="2">
        <v>0</v>
      </c>
      <c r="B2" s="4">
        <v>0</v>
      </c>
      <c r="C2" s="4">
        <v>200</v>
      </c>
      <c r="D2" s="4">
        <v>180</v>
      </c>
    </row>
    <row r="3" spans="1:4">
      <c r="A3" s="2">
        <v>1</v>
      </c>
      <c r="B3" s="4">
        <v>0</v>
      </c>
      <c r="C3" s="4">
        <v>140</v>
      </c>
      <c r="D3" s="4">
        <v>120</v>
      </c>
    </row>
    <row r="4" spans="1:4">
      <c r="A4" s="2">
        <v>2</v>
      </c>
      <c r="B4" s="4">
        <v>0</v>
      </c>
      <c r="C4" s="4">
        <v>120</v>
      </c>
      <c r="D4" s="4">
        <v>100</v>
      </c>
    </row>
    <row r="5" spans="1:4">
      <c r="A5" s="2">
        <v>3</v>
      </c>
      <c r="B5" s="4">
        <v>0</v>
      </c>
      <c r="C5" s="4">
        <v>180</v>
      </c>
      <c r="D5" s="4">
        <v>145</v>
      </c>
    </row>
    <row r="6" spans="1:4">
      <c r="A6" s="2">
        <v>4</v>
      </c>
      <c r="B6" s="4">
        <v>0.8</v>
      </c>
      <c r="C6" s="4">
        <v>170</v>
      </c>
      <c r="D6" s="4">
        <v>150</v>
      </c>
    </row>
    <row r="7" spans="1:4">
      <c r="A7" s="2">
        <v>5</v>
      </c>
      <c r="B7" s="4">
        <v>0.1</v>
      </c>
      <c r="C7" s="4">
        <v>130</v>
      </c>
      <c r="D7" s="4">
        <v>110</v>
      </c>
    </row>
    <row r="8" spans="1:4">
      <c r="A8" s="2">
        <v>6</v>
      </c>
      <c r="B8" s="4">
        <v>0.1</v>
      </c>
      <c r="C8" s="4">
        <v>150</v>
      </c>
      <c r="D8" s="4">
        <v>135</v>
      </c>
    </row>
  </sheetData>
  <phoneticPr fontId="1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F392-B904-9445-BA2B-4390F39D2DF1}">
  <sheetPr>
    <tabColor theme="6" tint="0.79998168889431442"/>
  </sheetPr>
  <dimension ref="A1:J6"/>
  <sheetViews>
    <sheetView topLeftCell="F1" zoomScale="211" workbookViewId="0">
      <selection activeCell="J9" sqref="J9"/>
    </sheetView>
  </sheetViews>
  <sheetFormatPr baseColWidth="10" defaultColWidth="8.83203125" defaultRowHeight="14"/>
  <cols>
    <col min="1" max="3" width="8.83203125" style="2"/>
    <col min="4" max="4" width="11" style="2" bestFit="1" customWidth="1"/>
    <col min="5" max="5" width="13.1640625" style="2" bestFit="1" customWidth="1"/>
    <col min="6" max="6" width="13.6640625" style="2" bestFit="1" customWidth="1"/>
    <col min="7" max="7" width="10.5" style="2" bestFit="1" customWidth="1"/>
    <col min="8" max="8" width="12.33203125" style="2" bestFit="1" customWidth="1"/>
    <col min="9" max="9" width="17.83203125" style="2" bestFit="1" customWidth="1"/>
    <col min="10" max="10" width="20" style="2" bestFit="1" customWidth="1"/>
    <col min="11" max="16384" width="8.83203125" style="2"/>
  </cols>
  <sheetData>
    <row r="1" spans="1:10">
      <c r="A1" s="1" t="s">
        <v>15</v>
      </c>
      <c r="B1" s="1" t="s">
        <v>16</v>
      </c>
      <c r="C1" s="1" t="s">
        <v>17</v>
      </c>
      <c r="D1" s="1" t="s">
        <v>47</v>
      </c>
      <c r="E1" s="1" t="s">
        <v>18</v>
      </c>
      <c r="F1" s="1" t="s">
        <v>19</v>
      </c>
      <c r="G1" s="1" t="s">
        <v>20</v>
      </c>
      <c r="H1" s="1" t="s">
        <v>21</v>
      </c>
      <c r="I1" s="9" t="s">
        <v>72</v>
      </c>
      <c r="J1" s="9" t="s">
        <v>73</v>
      </c>
    </row>
    <row r="2" spans="1:10">
      <c r="A2" s="2">
        <v>0</v>
      </c>
      <c r="B2" s="2">
        <v>0</v>
      </c>
      <c r="C2" s="2">
        <v>3</v>
      </c>
      <c r="D2" s="4">
        <v>45</v>
      </c>
      <c r="E2" s="4">
        <v>26000</v>
      </c>
      <c r="F2" s="2">
        <v>1</v>
      </c>
      <c r="G2" s="2">
        <v>12814</v>
      </c>
      <c r="H2" s="2">
        <f>0.59</f>
        <v>0.59</v>
      </c>
      <c r="I2" s="10">
        <v>4000</v>
      </c>
      <c r="J2" s="10">
        <v>0.89</v>
      </c>
    </row>
    <row r="3" spans="1:10">
      <c r="A3" s="2">
        <v>1</v>
      </c>
      <c r="B3" s="2">
        <v>1</v>
      </c>
      <c r="C3" s="2">
        <v>2</v>
      </c>
      <c r="D3" s="4">
        <v>38</v>
      </c>
      <c r="E3" s="4">
        <v>17000</v>
      </c>
      <c r="F3" s="2">
        <v>1</v>
      </c>
      <c r="G3" s="2">
        <v>15690</v>
      </c>
      <c r="H3" s="2">
        <f t="shared" ref="H3:H6" si="0">0.59</f>
        <v>0.59</v>
      </c>
      <c r="I3" s="10">
        <v>4000</v>
      </c>
      <c r="J3" s="10">
        <v>0.89</v>
      </c>
    </row>
    <row r="4" spans="1:10">
      <c r="A4" s="2">
        <v>2</v>
      </c>
      <c r="B4" s="2">
        <v>3</v>
      </c>
      <c r="C4" s="2">
        <v>4</v>
      </c>
      <c r="D4" s="4">
        <v>37.5</v>
      </c>
      <c r="E4" s="4">
        <v>10500</v>
      </c>
      <c r="F4" s="2">
        <v>1</v>
      </c>
      <c r="G4" s="2">
        <v>16772</v>
      </c>
      <c r="H4" s="2">
        <f t="shared" si="0"/>
        <v>0.59</v>
      </c>
      <c r="I4" s="10">
        <v>6000</v>
      </c>
      <c r="J4" s="10">
        <v>0.89</v>
      </c>
    </row>
    <row r="5" spans="1:10">
      <c r="A5" s="2">
        <v>3</v>
      </c>
      <c r="B5" s="2">
        <v>3</v>
      </c>
      <c r="C5" s="2">
        <v>6</v>
      </c>
      <c r="D5" s="4">
        <v>43.5</v>
      </c>
      <c r="E5" s="4">
        <v>16000</v>
      </c>
      <c r="F5" s="2">
        <v>1</v>
      </c>
      <c r="G5" s="2">
        <v>13443</v>
      </c>
      <c r="H5" s="2">
        <f t="shared" si="0"/>
        <v>0.59</v>
      </c>
      <c r="I5" s="10">
        <v>6000</v>
      </c>
      <c r="J5" s="10">
        <v>0.89</v>
      </c>
    </row>
    <row r="6" spans="1:10">
      <c r="A6" s="2">
        <v>4</v>
      </c>
      <c r="B6" s="2">
        <v>4</v>
      </c>
      <c r="C6" s="2">
        <v>5</v>
      </c>
      <c r="D6" s="4">
        <v>48</v>
      </c>
      <c r="E6" s="4">
        <v>21500</v>
      </c>
      <c r="F6" s="2">
        <v>1</v>
      </c>
      <c r="G6" s="2">
        <v>13006</v>
      </c>
      <c r="H6" s="2">
        <f t="shared" si="0"/>
        <v>0.59</v>
      </c>
      <c r="I6" s="10">
        <v>6000</v>
      </c>
      <c r="J6" s="10">
        <v>0.89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C564-7E6B-8F4F-8D90-61B48BE679C6}">
  <sheetPr>
    <tabColor theme="6" tint="0.79998168889431442"/>
  </sheetPr>
  <dimension ref="A1:F3"/>
  <sheetViews>
    <sheetView zoomScale="209" workbookViewId="0">
      <pane xSplit="1" topLeftCell="B1" activePane="topRight" state="frozen"/>
      <selection pane="topRight" activeCell="E4" sqref="E4"/>
    </sheetView>
  </sheetViews>
  <sheetFormatPr baseColWidth="10" defaultRowHeight="14"/>
  <cols>
    <col min="5" max="5" width="20.83203125" bestFit="1" customWidth="1"/>
    <col min="7" max="7" width="16.1640625" bestFit="1" customWidth="1"/>
    <col min="8" max="8" width="17.83203125" bestFit="1" customWidth="1"/>
  </cols>
  <sheetData>
    <row r="1" spans="1:6">
      <c r="A1" s="13" t="s">
        <v>77</v>
      </c>
      <c r="B1" s="1" t="s">
        <v>12</v>
      </c>
      <c r="C1" s="1" t="s">
        <v>22</v>
      </c>
      <c r="D1" s="1" t="s">
        <v>23</v>
      </c>
      <c r="E1" s="1" t="s">
        <v>38</v>
      </c>
      <c r="F1" s="8" t="s">
        <v>55</v>
      </c>
    </row>
    <row r="2" spans="1:6">
      <c r="A2" s="12">
        <v>0</v>
      </c>
      <c r="B2" s="4">
        <v>0</v>
      </c>
      <c r="C2" s="4">
        <v>6000</v>
      </c>
      <c r="D2" s="4">
        <v>3000</v>
      </c>
      <c r="E2" s="4">
        <v>1.99</v>
      </c>
      <c r="F2" s="2" t="s">
        <v>49</v>
      </c>
    </row>
    <row r="3" spans="1:6">
      <c r="A3" s="12">
        <v>1</v>
      </c>
      <c r="B3" s="4">
        <v>1</v>
      </c>
      <c r="C3" s="4">
        <v>8000</v>
      </c>
      <c r="D3" s="4">
        <v>3000</v>
      </c>
      <c r="E3" s="4">
        <v>1.99</v>
      </c>
      <c r="F3" s="2" t="s">
        <v>49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D15F-76EE-EB41-B3D1-AC54167F6890}">
  <sheetPr>
    <tabColor theme="6" tint="0.79998168889431442"/>
  </sheetPr>
  <dimension ref="A1:K4"/>
  <sheetViews>
    <sheetView topLeftCell="E1" zoomScale="243" workbookViewId="0">
      <selection activeCell="F5" sqref="F5"/>
    </sheetView>
  </sheetViews>
  <sheetFormatPr baseColWidth="10" defaultRowHeight="14"/>
  <cols>
    <col min="4" max="4" width="13.6640625" bestFit="1" customWidth="1"/>
    <col min="6" max="6" width="13.6640625" bestFit="1" customWidth="1"/>
  </cols>
  <sheetData>
    <row r="1" spans="1:11">
      <c r="A1" s="1" t="s">
        <v>24</v>
      </c>
      <c r="B1" s="1" t="s">
        <v>16</v>
      </c>
      <c r="C1" s="1" t="s">
        <v>17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s="2" customFormat="1">
      <c r="A2" s="4">
        <v>0</v>
      </c>
      <c r="B2" s="4">
        <v>2</v>
      </c>
      <c r="C2" s="4">
        <v>4</v>
      </c>
      <c r="D2" s="4">
        <v>1.2</v>
      </c>
      <c r="E2" s="4">
        <v>1.8</v>
      </c>
      <c r="F2" s="4">
        <v>16000</v>
      </c>
      <c r="G2" s="4">
        <v>0.23400000000000001</v>
      </c>
      <c r="H2" s="4">
        <v>227</v>
      </c>
      <c r="I2" s="4">
        <v>0</v>
      </c>
      <c r="J2" s="4">
        <v>3.0000000000000001E-3</v>
      </c>
      <c r="K2" s="4">
        <v>0</v>
      </c>
    </row>
    <row r="3" spans="1:11">
      <c r="A3" s="2"/>
      <c r="B3" s="2"/>
      <c r="C3" s="2"/>
      <c r="D3" s="2"/>
      <c r="E3" s="2"/>
      <c r="F3" s="2"/>
      <c r="G3" s="2"/>
      <c r="H3" s="2"/>
      <c r="I3" s="2"/>
    </row>
    <row r="4" spans="1:11">
      <c r="A4" s="2"/>
      <c r="B4" s="2"/>
      <c r="C4" s="2"/>
      <c r="D4" s="2"/>
      <c r="E4" s="2"/>
      <c r="F4" s="2"/>
      <c r="G4" s="2"/>
      <c r="H4" s="2"/>
      <c r="I4" s="2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1EA-3BD3-9E4D-9282-75A98011279D}">
  <sheetPr>
    <tabColor theme="6" tint="0.79998168889431442"/>
  </sheetPr>
  <dimension ref="A1:B25"/>
  <sheetViews>
    <sheetView zoomScale="133" zoomScaleNormal="228" workbookViewId="0">
      <selection activeCell="E15" sqref="E15"/>
    </sheetView>
  </sheetViews>
  <sheetFormatPr baseColWidth="10" defaultColWidth="8.83203125" defaultRowHeight="14"/>
  <cols>
    <col min="1" max="2" width="13" style="2" bestFit="1" customWidth="1"/>
    <col min="3" max="16384" width="8.83203125" style="2"/>
  </cols>
  <sheetData>
    <row r="1" spans="1:2">
      <c r="A1" s="1" t="s">
        <v>12</v>
      </c>
      <c r="B1" s="1" t="s">
        <v>33</v>
      </c>
    </row>
    <row r="2" spans="1:2">
      <c r="A2" s="2">
        <v>0</v>
      </c>
      <c r="B2" s="2">
        <v>8996.5066666666644</v>
      </c>
    </row>
    <row r="3" spans="1:2">
      <c r="A3" s="2">
        <v>1</v>
      </c>
      <c r="B3" s="2">
        <v>8415.2000000000007</v>
      </c>
    </row>
    <row r="4" spans="1:2">
      <c r="A4" s="2">
        <v>2</v>
      </c>
      <c r="B4" s="2">
        <v>8184.8</v>
      </c>
    </row>
    <row r="5" spans="1:2">
      <c r="A5" s="2">
        <v>3</v>
      </c>
      <c r="B5" s="2">
        <v>8472.7999999999993</v>
      </c>
    </row>
    <row r="6" spans="1:2">
      <c r="A6" s="2">
        <v>4</v>
      </c>
      <c r="B6" s="2">
        <v>8549.6</v>
      </c>
    </row>
    <row r="7" spans="1:2">
      <c r="A7" s="2">
        <v>5</v>
      </c>
      <c r="B7" s="2">
        <v>8741.6</v>
      </c>
    </row>
    <row r="8" spans="1:2">
      <c r="A8" s="2">
        <v>6</v>
      </c>
      <c r="B8" s="2">
        <v>9698.4</v>
      </c>
    </row>
    <row r="9" spans="1:2">
      <c r="A9" s="2">
        <v>7</v>
      </c>
      <c r="B9" s="2">
        <v>10840.8</v>
      </c>
    </row>
    <row r="10" spans="1:2">
      <c r="A10" s="2">
        <v>8</v>
      </c>
      <c r="B10" s="2">
        <v>12498.4</v>
      </c>
    </row>
    <row r="11" spans="1:2">
      <c r="A11" s="2">
        <v>9</v>
      </c>
      <c r="B11" s="2">
        <v>12706.399999999998</v>
      </c>
    </row>
    <row r="12" spans="1:2">
      <c r="A12" s="2">
        <v>10</v>
      </c>
      <c r="B12" s="2">
        <v>12258.4</v>
      </c>
    </row>
    <row r="13" spans="1:2">
      <c r="A13" s="2">
        <v>11</v>
      </c>
      <c r="B13" s="2">
        <v>11599.2</v>
      </c>
    </row>
    <row r="14" spans="1:2">
      <c r="A14" s="2">
        <v>12</v>
      </c>
      <c r="B14" s="2">
        <v>10860</v>
      </c>
    </row>
    <row r="15" spans="1:2">
      <c r="A15" s="2">
        <v>13</v>
      </c>
      <c r="B15" s="2">
        <v>10652</v>
      </c>
    </row>
    <row r="16" spans="1:2">
      <c r="A16" s="2">
        <v>14</v>
      </c>
      <c r="B16" s="2">
        <v>10527.2</v>
      </c>
    </row>
    <row r="17" spans="1:2">
      <c r="A17" s="2">
        <v>15</v>
      </c>
      <c r="B17" s="2">
        <v>10456.799999999999</v>
      </c>
    </row>
    <row r="18" spans="1:2">
      <c r="A18" s="2">
        <v>16</v>
      </c>
      <c r="B18" s="2">
        <v>10530.4</v>
      </c>
    </row>
    <row r="19" spans="1:2">
      <c r="A19" s="2">
        <v>17</v>
      </c>
      <c r="B19" s="2">
        <v>10096</v>
      </c>
    </row>
    <row r="20" spans="1:2">
      <c r="A20" s="2">
        <v>18</v>
      </c>
      <c r="B20" s="2">
        <v>9893.6</v>
      </c>
    </row>
    <row r="21" spans="1:2">
      <c r="A21" s="2">
        <v>19</v>
      </c>
      <c r="B21" s="2">
        <v>9509.6</v>
      </c>
    </row>
    <row r="22" spans="1:2">
      <c r="A22" s="2">
        <v>20</v>
      </c>
      <c r="B22" s="2">
        <v>9314.4</v>
      </c>
    </row>
    <row r="23" spans="1:2">
      <c r="A23" s="2">
        <v>21</v>
      </c>
      <c r="B23" s="2">
        <v>9314.4</v>
      </c>
    </row>
    <row r="24" spans="1:2">
      <c r="A24" s="2">
        <v>22</v>
      </c>
      <c r="B24" s="2">
        <v>9183.2000000000007</v>
      </c>
    </row>
    <row r="25" spans="1:2">
      <c r="A25" s="2">
        <v>23</v>
      </c>
      <c r="B25" s="2">
        <v>8418.4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General-Info</vt:lpstr>
      <vt:lpstr>H2G</vt:lpstr>
      <vt:lpstr>P2H</vt:lpstr>
      <vt:lpstr>G2P</vt:lpstr>
      <vt:lpstr>Power-Bus</vt:lpstr>
      <vt:lpstr>Power-Branch</vt:lpstr>
      <vt:lpstr>Power-Gen</vt:lpstr>
      <vt:lpstr>Power-GenWind</vt:lpstr>
      <vt:lpstr>Power-WindHourly</vt:lpstr>
      <vt:lpstr>Power-LoadHourly</vt:lpstr>
      <vt:lpstr>Gas-Node</vt:lpstr>
      <vt:lpstr>Gas-Pipeline</vt:lpstr>
      <vt:lpstr>Gas-Source</vt:lpstr>
      <vt:lpstr>Gas-Compressor</vt:lpstr>
      <vt:lpstr>Gas-LoadHourly</vt:lpstr>
      <vt:lpstr>Hydrogen-Node</vt:lpstr>
      <vt:lpstr>Hydrogen-Pipeline</vt:lpstr>
      <vt:lpstr>Hydrogen-Source</vt:lpstr>
      <vt:lpstr>Hydrogen-Compressor</vt:lpstr>
      <vt:lpstr>Hydrogen-LoadHourly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Haizhou Liu</cp:lastModifiedBy>
  <dcterms:created xsi:type="dcterms:W3CDTF">2025-02-22T06:19:06Z</dcterms:created>
  <dcterms:modified xsi:type="dcterms:W3CDTF">2025-04-16T13:28:29Z</dcterms:modified>
</cp:coreProperties>
</file>